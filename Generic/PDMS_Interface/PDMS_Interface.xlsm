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285" windowWidth="12000" windowHeight="6600"/>
  </bookViews>
  <sheets>
    <sheet name="DocumentList" sheetId="27" r:id="rId1"/>
    <sheet name="PropertiesMap" sheetId="28" r:id="rId2"/>
    <sheet name="NamingExamples" sheetId="29" r:id="rId3"/>
  </sheets>
  <functionGroups builtInGroupCount="17"/>
  <definedNames>
    <definedName name="_GoBack" localSheetId="1">PropertiesMap!#REF!</definedName>
    <definedName name="_xlnm.Print_Area" localSheetId="0">DocumentList!$A$2:$AN$62</definedName>
    <definedName name="_xlnm.Print_Titles" localSheetId="0">DocumentList!$2:$3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DocumentList!#REF!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B43" i="28" l="1"/>
  <c r="B42" i="28"/>
  <c r="B41" i="28"/>
  <c r="B40" i="28"/>
  <c r="B39" i="28"/>
  <c r="B38" i="28"/>
  <c r="B37" i="28"/>
  <c r="B36" i="28"/>
  <c r="B35" i="28"/>
  <c r="B44" i="28"/>
  <c r="B32" i="28"/>
  <c r="B26" i="28"/>
  <c r="B29" i="28"/>
  <c r="B51" i="28" l="1"/>
  <c r="B46" i="28"/>
  <c r="B34" i="28"/>
  <c r="B31" i="28"/>
  <c r="B28" i="28"/>
  <c r="B25" i="28"/>
  <c r="D37" i="29"/>
  <c r="D36" i="29"/>
  <c r="B55" i="28" l="1"/>
  <c r="B54" i="28"/>
  <c r="B53" i="28"/>
  <c r="B33" i="28"/>
  <c r="D38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B57" i="28" l="1"/>
  <c r="B56" i="28"/>
  <c r="B48" i="28"/>
  <c r="B45" i="28"/>
  <c r="B30" i="28"/>
  <c r="B27" i="28"/>
  <c r="B24" i="28"/>
  <c r="B15" i="28"/>
  <c r="B14" i="28"/>
  <c r="B13" i="28"/>
  <c r="B11" i="28"/>
  <c r="B10" i="28"/>
  <c r="B9" i="28"/>
  <c r="B6" i="28"/>
</calcChain>
</file>

<file path=xl/sharedStrings.xml><?xml version="1.0" encoding="utf-8"?>
<sst xmlns="http://schemas.openxmlformats.org/spreadsheetml/2006/main" count="272" uniqueCount="236">
  <si>
    <t>System</t>
  </si>
  <si>
    <t>Description</t>
  </si>
  <si>
    <t>Design</t>
  </si>
  <si>
    <t>Describe a planned or actual function, design, performance, or process.</t>
  </si>
  <si>
    <t>Define guidelines in order to give assistance to people using a particular system.</t>
  </si>
  <si>
    <t>Define when, how, and by whom specific activities are to be performed, including options and alternatives, as required.</t>
  </si>
  <si>
    <t>Define in detail when and how to perform certain jobs, including needed tools.</t>
  </si>
  <si>
    <t>Describe the materials an organization retains (e.g., quality records, legal records, fiscal records, historical records).</t>
  </si>
  <si>
    <t>Describe the results of activities such as investigations, assessments, and tests.</t>
  </si>
  <si>
    <t>Record information needed to solicit a response.</t>
  </si>
  <si>
    <t>Specify a required function, performance, or process (e.g., requirements specification).</t>
  </si>
  <si>
    <t>Document name = &lt;System&gt; &lt;Function&gt; &lt;Type&gt;</t>
  </si>
  <si>
    <t>Function</t>
  </si>
  <si>
    <t>Name of the system 
(smallest denominator)</t>
  </si>
  <si>
    <t>Function of the document</t>
  </si>
  <si>
    <t>Document name examples</t>
  </si>
  <si>
    <t>Main Helium Blowers</t>
  </si>
  <si>
    <t>Product</t>
  </si>
  <si>
    <t>Specification</t>
  </si>
  <si>
    <t>Report</t>
  </si>
  <si>
    <t>Thermal 100</t>
  </si>
  <si>
    <t>Project</t>
  </si>
  <si>
    <t>Plan</t>
  </si>
  <si>
    <t>VSOP</t>
  </si>
  <si>
    <t>Software Development</t>
  </si>
  <si>
    <t>Core Neutronics</t>
  </si>
  <si>
    <t>Functional</t>
  </si>
  <si>
    <t>VSOP Calculation</t>
  </si>
  <si>
    <t>VSOP Calculation Model</t>
  </si>
  <si>
    <t>VSOP Calculation Model Development</t>
  </si>
  <si>
    <t>Type</t>
  </si>
  <si>
    <t>Combined name</t>
  </si>
  <si>
    <r>
      <t xml:space="preserve">a.      </t>
    </r>
    <r>
      <rPr>
        <u/>
        <sz val="11"/>
        <rFont val="Arial"/>
        <family val="2"/>
      </rPr>
      <t>Description</t>
    </r>
  </si>
  <si>
    <r>
      <t xml:space="preserve">b.      </t>
    </r>
    <r>
      <rPr>
        <u/>
        <sz val="11"/>
        <rFont val="Arial"/>
        <family val="2"/>
      </rPr>
      <t>Manual</t>
    </r>
  </si>
  <si>
    <r>
      <t xml:space="preserve">c.      </t>
    </r>
    <r>
      <rPr>
        <u/>
        <sz val="11"/>
        <rFont val="Arial"/>
        <family val="2"/>
      </rPr>
      <t>Plan</t>
    </r>
  </si>
  <si>
    <r>
      <t xml:space="preserve">d.      </t>
    </r>
    <r>
      <rPr>
        <u/>
        <sz val="11"/>
        <rFont val="Arial"/>
        <family val="2"/>
      </rPr>
      <t>Procedure</t>
    </r>
  </si>
  <si>
    <r>
      <t xml:space="preserve">e.      </t>
    </r>
    <r>
      <rPr>
        <u/>
        <sz val="11"/>
        <rFont val="Arial"/>
        <family val="2"/>
      </rPr>
      <t>Record</t>
    </r>
  </si>
  <si>
    <r>
      <t xml:space="preserve">f.       </t>
    </r>
    <r>
      <rPr>
        <u/>
        <sz val="11"/>
        <rFont val="Arial"/>
        <family val="2"/>
      </rPr>
      <t>Report</t>
    </r>
  </si>
  <si>
    <r>
      <t xml:space="preserve">g.      </t>
    </r>
    <r>
      <rPr>
        <u/>
        <sz val="11"/>
        <rFont val="Arial"/>
        <family val="2"/>
      </rPr>
      <t>Request</t>
    </r>
  </si>
  <si>
    <r>
      <t xml:space="preserve">h.      </t>
    </r>
    <r>
      <rPr>
        <u/>
        <sz val="11"/>
        <rFont val="Arial"/>
        <family val="2"/>
      </rPr>
      <t>Specification</t>
    </r>
  </si>
  <si>
    <t>User</t>
  </si>
  <si>
    <t>Manual</t>
  </si>
  <si>
    <t>Factory Acceptance Test</t>
  </si>
  <si>
    <t>Procedure</t>
  </si>
  <si>
    <t>Technical Document Types (IEEE definition)</t>
  </si>
  <si>
    <t>Build History</t>
  </si>
  <si>
    <t>Record</t>
  </si>
  <si>
    <t>Design Information</t>
  </si>
  <si>
    <t>Request</t>
  </si>
  <si>
    <t>Document Properties</t>
  </si>
  <si>
    <t>DocSecurityClassification</t>
  </si>
  <si>
    <t>DocNumber</t>
  </si>
  <si>
    <t>DocIssue</t>
  </si>
  <si>
    <t>DocIssueDate</t>
  </si>
  <si>
    <t>DocTitleSystem</t>
  </si>
  <si>
    <t>DocTitleFunction</t>
  </si>
  <si>
    <t>DocTitleType</t>
  </si>
  <si>
    <t>DocProject</t>
  </si>
  <si>
    <t>DocProjectPhase</t>
  </si>
  <si>
    <t>DocYear</t>
  </si>
  <si>
    <t>DocTemplateVersion</t>
  </si>
  <si>
    <t>DocCreatedVersion</t>
  </si>
  <si>
    <t>DocTOCLevel</t>
  </si>
  <si>
    <t>DocPreparerFunction</t>
  </si>
  <si>
    <t>DocPreparerName</t>
  </si>
  <si>
    <t>DocPreparerDesignation</t>
  </si>
  <si>
    <t>DocReviewer1Function</t>
  </si>
  <si>
    <t>DocReviewer1Name</t>
  </si>
  <si>
    <t>DocReviewer1Designation</t>
  </si>
  <si>
    <t>DocReviewer2Function</t>
  </si>
  <si>
    <t>DocReviewer2Name</t>
  </si>
  <si>
    <t>DocReviewer2Designation</t>
  </si>
  <si>
    <t>DocReviewer3Function</t>
  </si>
  <si>
    <t>DocReviewer3Name</t>
  </si>
  <si>
    <t>DocReviewer3Designation</t>
  </si>
  <si>
    <t>DocApproverFunction</t>
  </si>
  <si>
    <t>DocApproverName</t>
  </si>
  <si>
    <t>DocApproverDesignation</t>
  </si>
  <si>
    <t>DocCreateDate</t>
  </si>
  <si>
    <t>DocStatus</t>
  </si>
  <si>
    <t>DocPageNumbers</t>
  </si>
  <si>
    <t>DocLayout</t>
  </si>
  <si>
    <t>DocCompetencyValidation</t>
  </si>
  <si>
    <t>DocResourceValidation</t>
  </si>
  <si>
    <t>DocCompetencyArea</t>
  </si>
  <si>
    <t>DocDocumentClassification</t>
  </si>
  <si>
    <t>1A</t>
  </si>
  <si>
    <t>DocForceFileName</t>
  </si>
  <si>
    <t>DocFileName</t>
  </si>
  <si>
    <t>Document Number</t>
  </si>
  <si>
    <t>Document Classification</t>
  </si>
  <si>
    <t>Revision</t>
  </si>
  <si>
    <t>Document Name</t>
  </si>
  <si>
    <t>Release Date</t>
  </si>
  <si>
    <t>Status</t>
  </si>
  <si>
    <t>File Name</t>
  </si>
  <si>
    <t>Draft</t>
  </si>
  <si>
    <t>n/a</t>
  </si>
  <si>
    <t>Preparer Name</t>
  </si>
  <si>
    <t>2nd Reviewer Name</t>
  </si>
  <si>
    <t>3rd Reviewer Name</t>
  </si>
  <si>
    <t>Competency Area</t>
  </si>
  <si>
    <t>Resource Validation</t>
  </si>
  <si>
    <t>Competency Validation</t>
  </si>
  <si>
    <t>Strict File Name</t>
  </si>
  <si>
    <t>Build and Test Proposal</t>
  </si>
  <si>
    <t>Design Quotation</t>
  </si>
  <si>
    <t>Design Proposal</t>
  </si>
  <si>
    <t>Commisioning Tests</t>
  </si>
  <si>
    <t>PDMS Properties</t>
  </si>
  <si>
    <t>DocumentList</t>
  </si>
  <si>
    <t>Interface Sheet Name:</t>
  </si>
  <si>
    <t>Joe Soap</t>
  </si>
  <si>
    <t>Jon Do</t>
  </si>
  <si>
    <t>Piet Pompies</t>
  </si>
  <si>
    <t>Serious Person</t>
  </si>
  <si>
    <t>Big Boss</t>
  </si>
  <si>
    <t>Main Power System</t>
  </si>
  <si>
    <t>PR1-1122-JK01</t>
  </si>
  <si>
    <t>Main Reviewer Name</t>
  </si>
  <si>
    <t>Main Reviewer Designation</t>
  </si>
  <si>
    <t>2nd Reviewer Designation</t>
  </si>
  <si>
    <t>3rd Reviewer Designation</t>
  </si>
  <si>
    <t>Approver Name</t>
  </si>
  <si>
    <t>Approver Designation</t>
  </si>
  <si>
    <t>Preparer Designation</t>
  </si>
  <si>
    <t>System Engineer</t>
  </si>
  <si>
    <t>Engineerin Manager</t>
  </si>
  <si>
    <t>Quality Manager</t>
  </si>
  <si>
    <t>Heliuym Specialist</t>
  </si>
  <si>
    <t>Chief Systems Engineer</t>
  </si>
  <si>
    <t>Document Layout</t>
  </si>
  <si>
    <t>DLT-001 Rev 1</t>
  </si>
  <si>
    <t>DocLeftMargin</t>
  </si>
  <si>
    <t>DocRightMargin</t>
  </si>
  <si>
    <t>DocTopMargin</t>
  </si>
  <si>
    <t>DocBottomMargin</t>
  </si>
  <si>
    <t>DocPageWidth</t>
  </si>
  <si>
    <t>DocPageHeight</t>
  </si>
  <si>
    <t>DocHeaderDistance</t>
  </si>
  <si>
    <t>DocFooterDistance</t>
  </si>
  <si>
    <t>DocRecipientAddress</t>
  </si>
  <si>
    <t>DocCompileDate</t>
  </si>
  <si>
    <t>DocTitleTypeValidation</t>
  </si>
  <si>
    <t>DocStatusValidation</t>
  </si>
  <si>
    <t>DocTOCStylesInclude</t>
  </si>
  <si>
    <t>DocTOCStyles1</t>
  </si>
  <si>
    <t>DocTOCStyles2</t>
  </si>
  <si>
    <t>DocTOCStyles3</t>
  </si>
  <si>
    <t>DocTOCStyles4</t>
  </si>
  <si>
    <t>DocTOCStyles5</t>
  </si>
  <si>
    <t>DocDefaultTabStopcm</t>
  </si>
  <si>
    <t>DocReviewer4Function</t>
  </si>
  <si>
    <t>DocReviewer4Name</t>
  </si>
  <si>
    <t>DocReviewer4Designation</t>
  </si>
  <si>
    <t>DocReviewer5Function</t>
  </si>
  <si>
    <t>DocReviewer5Name</t>
  </si>
  <si>
    <t>DocReviewer5Designation</t>
  </si>
  <si>
    <t>DocReviewer6Function</t>
  </si>
  <si>
    <t>DocReviewer6Name</t>
  </si>
  <si>
    <t>DocReviewer6Designation</t>
  </si>
  <si>
    <t>Main Reviewer Function</t>
  </si>
  <si>
    <t>Release Reviewer</t>
  </si>
  <si>
    <t>2nd Reviewer Function</t>
  </si>
  <si>
    <t>3rd Reviewer Function</t>
  </si>
  <si>
    <t>External Reviewer</t>
  </si>
  <si>
    <t>Approver Function</t>
  </si>
  <si>
    <t>Approver</t>
  </si>
  <si>
    <t>Quality Reviewer</t>
  </si>
  <si>
    <t>n\a</t>
  </si>
  <si>
    <t>6th Reviewer Function</t>
  </si>
  <si>
    <t>6th Reviewer Name</t>
  </si>
  <si>
    <t>6th Reviewer Designation</t>
  </si>
  <si>
    <t>5th Reviewer Function</t>
  </si>
  <si>
    <t>5th Reviewer Name</t>
  </si>
  <si>
    <t>5th Reviewer Designation</t>
  </si>
  <si>
    <t>4th Reviewer Function</t>
  </si>
  <si>
    <t>4th Reviewer Name</t>
  </si>
  <si>
    <t>4th Reviewer Designation</t>
  </si>
  <si>
    <t>DocCustom01Name</t>
  </si>
  <si>
    <t>DocCustom02Name</t>
  </si>
  <si>
    <t>DocCustom03Name</t>
  </si>
  <si>
    <t>DocCustom04Name</t>
  </si>
  <si>
    <t>DocCustom05Name</t>
  </si>
  <si>
    <t>DocCustom06Name</t>
  </si>
  <si>
    <t>DocCustom07Name</t>
  </si>
  <si>
    <t>DocCustom08Name</t>
  </si>
  <si>
    <t>DocCustom09Name</t>
  </si>
  <si>
    <t>DocCustom10Name</t>
  </si>
  <si>
    <t>DocCustom01Value</t>
  </si>
  <si>
    <t>DocCustom02Value</t>
  </si>
  <si>
    <t>DocCustom03Value</t>
  </si>
  <si>
    <t>DocCustom04Value</t>
  </si>
  <si>
    <t>DocCustom05Value</t>
  </si>
  <si>
    <t>DocCustom06Value</t>
  </si>
  <si>
    <t>DocCustom07Value</t>
  </si>
  <si>
    <t>DocCustom08Value</t>
  </si>
  <si>
    <t>DocCustom09Value</t>
  </si>
  <si>
    <t>DocCustom10Value</t>
  </si>
  <si>
    <t>DocNoForceSectionSetup</t>
  </si>
  <si>
    <t>Doc2ndSectionContinuous</t>
  </si>
  <si>
    <t>DocSecurityClassificationValidation</t>
  </si>
  <si>
    <t>DocLayoutDate</t>
  </si>
  <si>
    <t>DocRecipientValidation</t>
  </si>
  <si>
    <t>DocRecipient1Name</t>
  </si>
  <si>
    <t>DocRecipient1Designation</t>
  </si>
  <si>
    <t>DocRecipient1Prefix</t>
  </si>
  <si>
    <t>DocRecipient1Postfix</t>
  </si>
  <si>
    <t>DocRecipient2Name</t>
  </si>
  <si>
    <t>DocRecipient2Designation</t>
  </si>
  <si>
    <t>DocRecipient2Prefix</t>
  </si>
  <si>
    <t>DocRecipient2Postfix</t>
  </si>
  <si>
    <t>DocRecipient3Name</t>
  </si>
  <si>
    <t>DocRecipient3Designation</t>
  </si>
  <si>
    <t>DocRecipient3Prefix</t>
  </si>
  <si>
    <t>DocRecipient3Postfix</t>
  </si>
  <si>
    <t>DocRecipient4Name</t>
  </si>
  <si>
    <t>DocRecipient4Designation</t>
  </si>
  <si>
    <t>DocRecipient4Prefix</t>
  </si>
  <si>
    <t>DocRecipient4Postfix</t>
  </si>
  <si>
    <t>DocMyReference</t>
  </si>
  <si>
    <t>DocYourReference</t>
  </si>
  <si>
    <t>DocCompanyValidation</t>
  </si>
  <si>
    <t>DocRecipientCompany</t>
  </si>
  <si>
    <t>DocCaptionLabelTable</t>
  </si>
  <si>
    <t>DocCaptionLabelFigure</t>
  </si>
  <si>
    <t>DocCaptionSeparatorTable</t>
  </si>
  <si>
    <t>DocCaptionSeparatorFigure</t>
  </si>
  <si>
    <t>DocOutlineTabIndent</t>
  </si>
  <si>
    <t>DocOutlinePosition</t>
  </si>
  <si>
    <t>DocOutlineRestart</t>
  </si>
  <si>
    <t>DocOutlineSwitches</t>
  </si>
  <si>
    <t>DocOutlinePrefix</t>
  </si>
  <si>
    <t>DocOutlineSuffix</t>
  </si>
  <si>
    <t>DocOutlineStyle</t>
  </si>
  <si>
    <t>DocLanguage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</si>
</sst>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yyyy/mm/dd;@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u/>
      <sz val="10"/>
      <color indexed="12"/>
      <name val="Arial"/>
      <family val="2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name val="Arial"/>
      <family val="2"/>
    </font>
    <font>
      <sz val="11"/>
      <color rgb="FF000000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u/>
      <sz val="11"/>
      <color rgb="FF000000"/>
      <name val="Arial"/>
      <family val="2"/>
    </font>
    <font>
      <b/>
      <u/>
      <sz val="10"/>
      <name val="Arial"/>
      <family val="2"/>
    </font>
    <font>
      <u/>
      <sz val="10"/>
      <color indexed="12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3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7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</cellStyleXfs>
  <cellXfs count="62">
    <xf numFmtId="0" fontId="0" fillId="0" borderId="0" xfId="0"/>
    <xf numFmtId="0" fontId="4" fillId="0" borderId="0" xfId="1" applyFont="1" applyAlignment="1">
      <alignment horizontal="left" vertical="center" wrapText="1"/>
    </xf>
    <xf numFmtId="0" fontId="4" fillId="0" borderId="0" xfId="1" applyFont="1" applyBorder="1" applyAlignment="1">
      <alignment horizontal="left" vertical="center" wrapText="1"/>
    </xf>
    <xf numFmtId="0" fontId="3" fillId="0" borderId="0" xfId="1"/>
    <xf numFmtId="0" fontId="4" fillId="0" borderId="1" xfId="1" applyFont="1" applyFill="1" applyBorder="1" applyAlignment="1">
      <alignment horizontal="left" vertical="center" wrapText="1"/>
    </xf>
    <xf numFmtId="0" fontId="4" fillId="0" borderId="0" xfId="1" applyFont="1" applyBorder="1" applyAlignment="1">
      <alignment horizontal="center" vertical="center" wrapText="1"/>
    </xf>
    <xf numFmtId="49" fontId="4" fillId="0" borderId="0" xfId="1" applyNumberFormat="1" applyFont="1" applyBorder="1" applyAlignment="1">
      <alignment horizontal="left" vertical="center" wrapText="1"/>
    </xf>
    <xf numFmtId="49" fontId="9" fillId="0" borderId="0" xfId="1" applyNumberFormat="1" applyFont="1" applyFill="1" applyBorder="1" applyAlignment="1">
      <alignment horizontal="center" vertical="center"/>
    </xf>
    <xf numFmtId="0" fontId="9" fillId="0" borderId="0" xfId="1" applyFont="1" applyFill="1" applyBorder="1"/>
    <xf numFmtId="0" fontId="9" fillId="0" borderId="0" xfId="1" applyFont="1" applyFill="1" applyBorder="1" applyAlignment="1">
      <alignment horizontal="center"/>
    </xf>
    <xf numFmtId="0" fontId="9" fillId="0" borderId="0" xfId="1" applyNumberFormat="1" applyFont="1" applyFill="1" applyBorder="1" applyAlignment="1">
      <alignment horizontal="left" vertical="center"/>
    </xf>
    <xf numFmtId="0" fontId="11" fillId="0" borderId="0" xfId="1" applyNumberFormat="1" applyFont="1" applyFill="1" applyBorder="1" applyAlignment="1">
      <alignment horizontal="left" vertical="center"/>
    </xf>
    <xf numFmtId="0" fontId="9" fillId="0" borderId="7" xfId="0" applyFont="1" applyBorder="1" applyAlignment="1">
      <alignment vertical="center"/>
    </xf>
    <xf numFmtId="0" fontId="9" fillId="0" borderId="9" xfId="1" applyNumberFormat="1" applyFont="1" applyFill="1" applyBorder="1" applyAlignment="1">
      <alignment horizontal="left" vertical="center"/>
    </xf>
    <xf numFmtId="0" fontId="9" fillId="0" borderId="10" xfId="0" applyFont="1" applyBorder="1" applyAlignment="1">
      <alignment vertical="center"/>
    </xf>
    <xf numFmtId="0" fontId="9" fillId="0" borderId="6" xfId="1" applyFont="1" applyFill="1" applyBorder="1"/>
    <xf numFmtId="0" fontId="16" fillId="0" borderId="0" xfId="1" applyFont="1"/>
    <xf numFmtId="49" fontId="3" fillId="0" borderId="0" xfId="1" applyNumberFormat="1"/>
    <xf numFmtId="49" fontId="6" fillId="0" borderId="0" xfId="1" applyNumberFormat="1" applyFont="1" applyAlignment="1">
      <alignment horizontal="left" vertical="center" wrapText="1"/>
    </xf>
    <xf numFmtId="0" fontId="12" fillId="0" borderId="6" xfId="1" applyNumberFormat="1" applyFont="1" applyFill="1" applyBorder="1" applyAlignment="1">
      <alignment horizontal="left" vertical="center"/>
    </xf>
    <xf numFmtId="0" fontId="12" fillId="0" borderId="0" xfId="1" applyNumberFormat="1" applyFont="1" applyFill="1" applyBorder="1" applyAlignment="1">
      <alignment horizontal="left" vertical="center"/>
    </xf>
    <xf numFmtId="0" fontId="10" fillId="0" borderId="6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justify" vertical="center"/>
    </xf>
    <xf numFmtId="0" fontId="10" fillId="0" borderId="8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justify" vertic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justify" vertical="center"/>
    </xf>
    <xf numFmtId="0" fontId="15" fillId="0" borderId="6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justify" vertical="center"/>
    </xf>
    <xf numFmtId="49" fontId="9" fillId="0" borderId="7" xfId="1" applyNumberFormat="1" applyFont="1" applyFill="1" applyBorder="1" applyAlignment="1">
      <alignment horizontal="center" vertical="center"/>
    </xf>
    <xf numFmtId="0" fontId="9" fillId="0" borderId="7" xfId="1" applyFont="1" applyFill="1" applyBorder="1" applyAlignment="1">
      <alignment horizontal="center"/>
    </xf>
    <xf numFmtId="49" fontId="11" fillId="0" borderId="7" xfId="1" applyNumberFormat="1" applyFont="1" applyFill="1" applyBorder="1" applyAlignment="1">
      <alignment horizontal="left" vertical="center"/>
    </xf>
    <xf numFmtId="49" fontId="4" fillId="0" borderId="1" xfId="1" applyNumberFormat="1" applyFont="1" applyFill="1" applyBorder="1" applyAlignment="1">
      <alignment horizontal="center" vertical="center" wrapText="1"/>
    </xf>
    <xf numFmtId="0" fontId="4" fillId="0" borderId="1" xfId="1" applyNumberFormat="1" applyFont="1" applyFill="1" applyBorder="1" applyAlignment="1">
      <alignment horizontal="left" vertical="center" wrapText="1"/>
    </xf>
    <xf numFmtId="0" fontId="6" fillId="0" borderId="12" xfId="1" applyFont="1" applyBorder="1" applyAlignment="1">
      <alignment horizontal="center" vertical="center" wrapText="1"/>
    </xf>
    <xf numFmtId="49" fontId="6" fillId="0" borderId="12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1" applyFont="1" applyBorder="1" applyAlignment="1">
      <alignment horizontal="left" vertical="center" wrapText="1"/>
    </xf>
    <xf numFmtId="0" fontId="17" fillId="0" borderId="1" xfId="2" applyFont="1" applyFill="1" applyBorder="1" applyAlignment="1" applyProtection="1">
      <alignment horizontal="left" vertical="center" wrapText="1"/>
    </xf>
    <xf numFmtId="0" fontId="6" fillId="0" borderId="11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center" vertical="center" wrapText="1"/>
    </xf>
    <xf numFmtId="0" fontId="6" fillId="0" borderId="12" xfId="1" applyFont="1" applyFill="1" applyBorder="1" applyAlignment="1">
      <alignment horizontal="center" vertical="center" wrapText="1"/>
    </xf>
    <xf numFmtId="0" fontId="6" fillId="0" borderId="13" xfId="1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8" fillId="0" borderId="14" xfId="1" applyFont="1" applyBorder="1" applyAlignment="1">
      <alignment horizontal="centerContinuous" vertical="center" wrapText="1"/>
    </xf>
    <xf numFmtId="0" fontId="4" fillId="0" borderId="15" xfId="1" applyFont="1" applyBorder="1" applyAlignment="1">
      <alignment horizontal="centerContinuous" vertical="center" wrapText="1"/>
    </xf>
    <xf numFmtId="0" fontId="4" fillId="0" borderId="16" xfId="1" applyFont="1" applyBorder="1" applyAlignment="1">
      <alignment horizontal="centerContinuous" vertical="center" wrapText="1"/>
    </xf>
    <xf numFmtId="0" fontId="18" fillId="0" borderId="0" xfId="1" applyFont="1" applyAlignment="1">
      <alignment horizontal="right"/>
    </xf>
    <xf numFmtId="165" fontId="4" fillId="0" borderId="2" xfId="0" applyNumberFormat="1" applyFont="1" applyBorder="1" applyAlignment="1">
      <alignment horizontal="left" vertical="center" wrapText="1"/>
    </xf>
    <xf numFmtId="165" fontId="4" fillId="0" borderId="1" xfId="0" applyNumberFormat="1" applyFont="1" applyBorder="1" applyAlignment="1">
      <alignment horizontal="left" vertical="center" wrapText="1"/>
    </xf>
    <xf numFmtId="165" fontId="4" fillId="0" borderId="1" xfId="1" applyNumberFormat="1" applyFont="1" applyFill="1" applyBorder="1" applyAlignment="1">
      <alignment horizontal="left" vertical="center" wrapText="1"/>
    </xf>
    <xf numFmtId="0" fontId="13" fillId="0" borderId="3" xfId="1" applyFont="1" applyBorder="1" applyAlignment="1">
      <alignment horizontal="center"/>
    </xf>
    <xf numFmtId="0" fontId="0" fillId="0" borderId="4" xfId="0" applyBorder="1" applyAlignment="1"/>
    <xf numFmtId="0" fontId="0" fillId="0" borderId="5" xfId="0" applyBorder="1" applyAlignment="1"/>
    <xf numFmtId="0" fontId="14" fillId="0" borderId="3" xfId="0" applyFont="1" applyBorder="1" applyAlignment="1">
      <alignment horizontal="center"/>
    </xf>
    <xf numFmtId="0" fontId="9" fillId="0" borderId="9" xfId="0" applyFont="1" applyBorder="1" applyAlignment="1">
      <alignment horizontal="justify" vertical="center"/>
    </xf>
    <xf numFmtId="0" fontId="0" fillId="0" borderId="10" xfId="0" applyBorder="1" applyAlignment="1">
      <alignment vertical="center"/>
    </xf>
    <xf numFmtId="0" fontId="9" fillId="0" borderId="0" xfId="0" applyFont="1" applyBorder="1" applyAlignment="1">
      <alignment horizontal="justify" vertical="center"/>
    </xf>
    <xf numFmtId="0" fontId="0" fillId="0" borderId="7" xfId="0" applyBorder="1" applyAlignment="1">
      <alignment vertical="center"/>
    </xf>
  </cellXfs>
  <cellStyles count="8">
    <cellStyle name="Comma 2" xfId="5"/>
    <cellStyle name="Hyperlink" xfId="2" builtinId="8"/>
    <cellStyle name="Hyperlink 2" xfId="4"/>
    <cellStyle name="Normal" xfId="0" builtinId="0"/>
    <cellStyle name="Normal 2" xfId="1"/>
    <cellStyle name="Normal 3" xfId="3"/>
    <cellStyle name="Normal 3 2" xfId="7"/>
    <cellStyle name="Percent 2" xfId="6"/>
  </cellStyles>
  <dxfs count="220"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rgb="FFCC706E"/>
        </patternFill>
      </fill>
    </dxf>
    <dxf>
      <fill>
        <patternFill>
          <bgColor rgb="FF87C9D9"/>
        </patternFill>
      </fill>
    </dxf>
    <dxf>
      <fill>
        <patternFill>
          <bgColor rgb="FF00FFFF"/>
        </patternFill>
      </fill>
    </dxf>
    <dxf>
      <fill>
        <patternFill>
          <bgColor rgb="FF91B44A"/>
        </patternFill>
      </fill>
    </dxf>
    <dxf>
      <fill>
        <patternFill>
          <bgColor rgb="FFFF66FF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CC706E"/>
      <color rgb="FF87C9D9"/>
      <color rgb="FF91B44A"/>
      <color rgb="FFFF9999"/>
      <color rgb="FFFF66FF"/>
      <color rgb="FF4F6228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K7"/>
  <sheetViews>
    <sheetView tabSelected="1" zoomScale="90" zoomScaleNormal="90" zoomScaleSheetLayoutView="80" workbookViewId="0"/>
  </sheetViews>
  <sheetFormatPr defaultColWidth="9.140625" defaultRowHeight="12.75" x14ac:dyDescent="0.2"/>
  <cols>
    <col min="1" max="1" width="11.85546875" bestFit="1" customWidth="1"/>
    <col min="2" max="2" width="7.7109375" bestFit="1" customWidth="1"/>
    <col min="3" max="3" width="14.7109375" customWidth="1"/>
    <col min="4" max="4" width="20.140625" bestFit="1" customWidth="1"/>
    <col min="5" max="5" width="22" bestFit="1" customWidth="1"/>
    <col min="6" max="6" width="11.140625" bestFit="1" customWidth="1"/>
    <col min="7" max="7" width="10.42578125" bestFit="1" customWidth="1"/>
    <col min="8" max="8" width="7.140625" customWidth="1"/>
    <col min="9" max="31" width="17.28515625" customWidth="1"/>
    <col min="32" max="32" width="9" bestFit="1" customWidth="1"/>
    <col min="33" max="33" width="10.85546875" bestFit="1" customWidth="1"/>
    <col min="34" max="34" width="17.85546875" bestFit="1" customWidth="1"/>
    <col min="35" max="35" width="12.5703125" bestFit="1" customWidth="1"/>
    <col min="36" max="36" width="8.5703125" customWidth="1"/>
    <col min="37" max="37" width="29.42578125" customWidth="1"/>
  </cols>
  <sheetData>
    <row r="1" spans="1:37" ht="13.5" thickBot="1" x14ac:dyDescent="0.25">
      <c r="A1" s="2"/>
      <c r="B1" s="5"/>
      <c r="C1" s="2"/>
      <c r="D1" s="2"/>
      <c r="E1" s="2"/>
      <c r="F1" s="2"/>
      <c r="G1" s="6"/>
      <c r="H1" s="6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ht="13.5" thickBot="1" x14ac:dyDescent="0.25">
      <c r="A2" s="1"/>
      <c r="B2" s="5"/>
      <c r="C2" s="2"/>
      <c r="D2" s="47" t="s">
        <v>92</v>
      </c>
      <c r="E2" s="48"/>
      <c r="F2" s="49"/>
      <c r="G2" s="36"/>
      <c r="H2" s="36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8"/>
    </row>
    <row r="3" spans="1:37" ht="26.25" thickBot="1" x14ac:dyDescent="0.25">
      <c r="A3" s="41" t="s">
        <v>89</v>
      </c>
      <c r="B3" s="35" t="s">
        <v>91</v>
      </c>
      <c r="C3" s="35" t="s">
        <v>90</v>
      </c>
      <c r="D3" s="42" t="s">
        <v>0</v>
      </c>
      <c r="E3" s="42" t="s">
        <v>12</v>
      </c>
      <c r="F3" s="42" t="s">
        <v>30</v>
      </c>
      <c r="G3" s="34" t="s">
        <v>93</v>
      </c>
      <c r="H3" s="34" t="s">
        <v>94</v>
      </c>
      <c r="I3" s="34" t="s">
        <v>98</v>
      </c>
      <c r="J3" s="34" t="s">
        <v>125</v>
      </c>
      <c r="K3" s="34" t="s">
        <v>161</v>
      </c>
      <c r="L3" s="34" t="s">
        <v>119</v>
      </c>
      <c r="M3" s="34" t="s">
        <v>120</v>
      </c>
      <c r="N3" s="34" t="s">
        <v>163</v>
      </c>
      <c r="O3" s="34" t="s">
        <v>99</v>
      </c>
      <c r="P3" s="34" t="s">
        <v>121</v>
      </c>
      <c r="Q3" s="34" t="s">
        <v>164</v>
      </c>
      <c r="R3" s="34" t="s">
        <v>100</v>
      </c>
      <c r="S3" s="34" t="s">
        <v>122</v>
      </c>
      <c r="T3" s="34" t="s">
        <v>176</v>
      </c>
      <c r="U3" s="34" t="s">
        <v>177</v>
      </c>
      <c r="V3" s="34" t="s">
        <v>178</v>
      </c>
      <c r="W3" s="34" t="s">
        <v>173</v>
      </c>
      <c r="X3" s="34" t="s">
        <v>174</v>
      </c>
      <c r="Y3" s="34" t="s">
        <v>175</v>
      </c>
      <c r="Z3" s="34" t="s">
        <v>170</v>
      </c>
      <c r="AA3" s="34" t="s">
        <v>171</v>
      </c>
      <c r="AB3" s="34" t="s">
        <v>172</v>
      </c>
      <c r="AC3" s="34" t="s">
        <v>166</v>
      </c>
      <c r="AD3" s="34" t="s">
        <v>123</v>
      </c>
      <c r="AE3" s="34" t="s">
        <v>124</v>
      </c>
      <c r="AF3" s="34" t="s">
        <v>102</v>
      </c>
      <c r="AG3" s="34" t="s">
        <v>103</v>
      </c>
      <c r="AH3" s="34" t="s">
        <v>101</v>
      </c>
      <c r="AI3" s="34" t="s">
        <v>131</v>
      </c>
      <c r="AJ3" s="43" t="s">
        <v>104</v>
      </c>
      <c r="AK3" s="44" t="s">
        <v>95</v>
      </c>
    </row>
    <row r="4" spans="1:37" ht="25.5" x14ac:dyDescent="0.2">
      <c r="A4" s="37">
        <v>123459</v>
      </c>
      <c r="B4" s="45" t="s">
        <v>86</v>
      </c>
      <c r="C4" s="37" t="s">
        <v>118</v>
      </c>
      <c r="D4" s="37" t="s">
        <v>16</v>
      </c>
      <c r="E4" s="37" t="s">
        <v>105</v>
      </c>
      <c r="F4" s="37" t="s">
        <v>48</v>
      </c>
      <c r="G4" s="51">
        <v>41292</v>
      </c>
      <c r="H4" s="37" t="s">
        <v>96</v>
      </c>
      <c r="I4" s="37" t="s">
        <v>112</v>
      </c>
      <c r="J4" s="37" t="s">
        <v>126</v>
      </c>
      <c r="K4" s="37" t="s">
        <v>162</v>
      </c>
      <c r="L4" s="37" t="s">
        <v>115</v>
      </c>
      <c r="M4" s="37" t="s">
        <v>130</v>
      </c>
      <c r="N4" s="37" t="s">
        <v>168</v>
      </c>
      <c r="O4" s="37" t="s">
        <v>114</v>
      </c>
      <c r="P4" s="37" t="s">
        <v>128</v>
      </c>
      <c r="Q4" s="37" t="s">
        <v>165</v>
      </c>
      <c r="R4" s="37" t="s">
        <v>113</v>
      </c>
      <c r="S4" s="37" t="s">
        <v>129</v>
      </c>
      <c r="T4" s="38" t="s">
        <v>169</v>
      </c>
      <c r="U4" s="38" t="s">
        <v>169</v>
      </c>
      <c r="V4" s="38" t="s">
        <v>169</v>
      </c>
      <c r="W4" s="38" t="s">
        <v>169</v>
      </c>
      <c r="X4" s="38" t="s">
        <v>169</v>
      </c>
      <c r="Y4" s="38" t="s">
        <v>169</v>
      </c>
      <c r="Z4" s="38" t="s">
        <v>169</v>
      </c>
      <c r="AA4" s="38" t="s">
        <v>169</v>
      </c>
      <c r="AB4" s="38" t="s">
        <v>169</v>
      </c>
      <c r="AC4" s="37" t="s">
        <v>167</v>
      </c>
      <c r="AD4" s="37" t="s">
        <v>116</v>
      </c>
      <c r="AE4" s="37" t="s">
        <v>127</v>
      </c>
      <c r="AF4" s="37" t="b">
        <v>0</v>
      </c>
      <c r="AG4" s="37" t="b">
        <v>0</v>
      </c>
      <c r="AH4" s="37" t="s">
        <v>117</v>
      </c>
      <c r="AI4" s="38" t="s">
        <v>132</v>
      </c>
      <c r="AJ4" s="37" t="b">
        <v>0</v>
      </c>
      <c r="AK4" s="37" t="s">
        <v>97</v>
      </c>
    </row>
    <row r="5" spans="1:37" x14ac:dyDescent="0.2">
      <c r="A5" s="38"/>
      <c r="B5" s="46"/>
      <c r="C5" s="38"/>
      <c r="D5" s="38"/>
      <c r="E5" s="38"/>
      <c r="F5" s="38"/>
      <c r="G5" s="52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</row>
    <row r="6" spans="1:37" x14ac:dyDescent="0.2">
      <c r="A6" s="38"/>
      <c r="B6" s="46"/>
      <c r="C6" s="38"/>
      <c r="D6" s="38"/>
      <c r="E6" s="38"/>
      <c r="F6" s="38"/>
      <c r="G6" s="52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</row>
    <row r="7" spans="1:37" x14ac:dyDescent="0.2">
      <c r="A7" s="39"/>
      <c r="B7" s="32"/>
      <c r="C7" s="33"/>
      <c r="D7" s="4"/>
      <c r="E7" s="4"/>
      <c r="F7" s="4"/>
      <c r="G7" s="53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0"/>
    </row>
  </sheetData>
  <conditionalFormatting sqref="I7:J7 A7:G7 L7:M7 O7:P7 R7:S7 AD7:AI7">
    <cfRule type="expression" dxfId="219" priority="265">
      <formula>$A7="Security_Systems"</formula>
    </cfRule>
    <cfRule type="expression" dxfId="218" priority="266">
      <formula>$A7="Control_&amp;_Instrumentation"</formula>
    </cfRule>
    <cfRule type="expression" dxfId="217" priority="267">
      <formula>$A7="Power_Supply_System"</formula>
    </cfRule>
    <cfRule type="expression" dxfId="216" priority="268">
      <formula>$A7="Nuclear_Auxillary_Systems"</formula>
    </cfRule>
    <cfRule type="expression" dxfId="215" priority="269">
      <formula>$A7="Main_Buildings"</formula>
    </cfRule>
    <cfRule type="expression" dxfId="214" priority="270">
      <formula>$A7="Main_Helium_Blowers"</formula>
    </cfRule>
    <cfRule type="expression" dxfId="213" priority="271">
      <formula>$A7="Fuel_Handling_&amp;_Storage"</formula>
    </cfRule>
    <cfRule type="expression" dxfId="212" priority="272">
      <formula>$A7="Power_Conversion_System"</formula>
    </cfRule>
    <cfRule type="expression" dxfId="211" priority="273">
      <formula>$A7="Steam_Generator"</formula>
    </cfRule>
    <cfRule type="expression" dxfId="210" priority="274">
      <formula>$A7="Reactor_Cavity_Cooling_System"</formula>
    </cfRule>
    <cfRule type="expression" dxfId="209" priority="275">
      <formula>$A7="Reactor_Unit"</formula>
    </cfRule>
  </conditionalFormatting>
  <conditionalFormatting sqref="H7">
    <cfRule type="expression" dxfId="208" priority="144">
      <formula>$A7="Security_Systems"</formula>
    </cfRule>
    <cfRule type="expression" dxfId="207" priority="145">
      <formula>$A7="Control_&amp;_Instrumentation"</formula>
    </cfRule>
    <cfRule type="expression" dxfId="206" priority="146">
      <formula>$A7="Power_Supply_System"</formula>
    </cfRule>
    <cfRule type="expression" dxfId="205" priority="147">
      <formula>$A7="Nuclear_Auxillary_Systems"</formula>
    </cfRule>
    <cfRule type="expression" dxfId="204" priority="148">
      <formula>$A7="Main_Buildings"</formula>
    </cfRule>
    <cfRule type="expression" dxfId="203" priority="149">
      <formula>$A7="Main_Helium_Blowers"</formula>
    </cfRule>
    <cfRule type="expression" dxfId="202" priority="150">
      <formula>$A7="Fuel_Handling_&amp;_Storage"</formula>
    </cfRule>
    <cfRule type="expression" dxfId="201" priority="151">
      <formula>$A7="Power_Conversion_System"</formula>
    </cfRule>
    <cfRule type="expression" dxfId="200" priority="152">
      <formula>$A7="Steam_Generator"</formula>
    </cfRule>
    <cfRule type="expression" dxfId="199" priority="153">
      <formula>$A7="Reactor_Cavity_Cooling_System"</formula>
    </cfRule>
    <cfRule type="expression" dxfId="198" priority="154">
      <formula>$A7="Reactor_Unit"</formula>
    </cfRule>
  </conditionalFormatting>
  <conditionalFormatting sqref="K7">
    <cfRule type="expression" dxfId="197" priority="100">
      <formula>$A7="Security_Systems"</formula>
    </cfRule>
    <cfRule type="expression" dxfId="196" priority="101">
      <formula>$A7="Control_&amp;_Instrumentation"</formula>
    </cfRule>
    <cfRule type="expression" dxfId="195" priority="102">
      <formula>$A7="Power_Supply_System"</formula>
    </cfRule>
    <cfRule type="expression" dxfId="194" priority="103">
      <formula>$A7="Nuclear_Auxillary_Systems"</formula>
    </cfRule>
    <cfRule type="expression" dxfId="193" priority="104">
      <formula>$A7="Main_Buildings"</formula>
    </cfRule>
    <cfRule type="expression" dxfId="192" priority="105">
      <formula>$A7="Main_Helium_Blowers"</formula>
    </cfRule>
    <cfRule type="expression" dxfId="191" priority="106">
      <formula>$A7="Fuel_Handling_&amp;_Storage"</formula>
    </cfRule>
    <cfRule type="expression" dxfId="190" priority="107">
      <formula>$A7="Power_Conversion_System"</formula>
    </cfRule>
    <cfRule type="expression" dxfId="189" priority="108">
      <formula>$A7="Steam_Generator"</formula>
    </cfRule>
    <cfRule type="expression" dxfId="188" priority="109">
      <formula>$A7="Reactor_Cavity_Cooling_System"</formula>
    </cfRule>
    <cfRule type="expression" dxfId="187" priority="110">
      <formula>$A7="Reactor_Unit"</formula>
    </cfRule>
  </conditionalFormatting>
  <conditionalFormatting sqref="N7">
    <cfRule type="expression" dxfId="186" priority="89">
      <formula>$A7="Security_Systems"</formula>
    </cfRule>
    <cfRule type="expression" dxfId="185" priority="90">
      <formula>$A7="Control_&amp;_Instrumentation"</formula>
    </cfRule>
    <cfRule type="expression" dxfId="184" priority="91">
      <formula>$A7="Power_Supply_System"</formula>
    </cfRule>
    <cfRule type="expression" dxfId="183" priority="92">
      <formula>$A7="Nuclear_Auxillary_Systems"</formula>
    </cfRule>
    <cfRule type="expression" dxfId="182" priority="93">
      <formula>$A7="Main_Buildings"</formula>
    </cfRule>
    <cfRule type="expression" dxfId="181" priority="94">
      <formula>$A7="Main_Helium_Blowers"</formula>
    </cfRule>
    <cfRule type="expression" dxfId="180" priority="95">
      <formula>$A7="Fuel_Handling_&amp;_Storage"</formula>
    </cfRule>
    <cfRule type="expression" dxfId="179" priority="96">
      <formula>$A7="Power_Conversion_System"</formula>
    </cfRule>
    <cfRule type="expression" dxfId="178" priority="97">
      <formula>$A7="Steam_Generator"</formula>
    </cfRule>
    <cfRule type="expression" dxfId="177" priority="98">
      <formula>$A7="Reactor_Cavity_Cooling_System"</formula>
    </cfRule>
    <cfRule type="expression" dxfId="176" priority="99">
      <formula>$A7="Reactor_Unit"</formula>
    </cfRule>
  </conditionalFormatting>
  <conditionalFormatting sqref="Q7">
    <cfRule type="expression" dxfId="175" priority="78">
      <formula>$A7="Security_Systems"</formula>
    </cfRule>
    <cfRule type="expression" dxfId="174" priority="79">
      <formula>$A7="Control_&amp;_Instrumentation"</formula>
    </cfRule>
    <cfRule type="expression" dxfId="173" priority="80">
      <formula>$A7="Power_Supply_System"</formula>
    </cfRule>
    <cfRule type="expression" dxfId="172" priority="81">
      <formula>$A7="Nuclear_Auxillary_Systems"</formula>
    </cfRule>
    <cfRule type="expression" dxfId="171" priority="82">
      <formula>$A7="Main_Buildings"</formula>
    </cfRule>
    <cfRule type="expression" dxfId="170" priority="83">
      <formula>$A7="Main_Helium_Blowers"</formula>
    </cfRule>
    <cfRule type="expression" dxfId="169" priority="84">
      <formula>$A7="Fuel_Handling_&amp;_Storage"</formula>
    </cfRule>
    <cfRule type="expression" dxfId="168" priority="85">
      <formula>$A7="Power_Conversion_System"</formula>
    </cfRule>
    <cfRule type="expression" dxfId="167" priority="86">
      <formula>$A7="Steam_Generator"</formula>
    </cfRule>
    <cfRule type="expression" dxfId="166" priority="87">
      <formula>$A7="Reactor_Cavity_Cooling_System"</formula>
    </cfRule>
    <cfRule type="expression" dxfId="165" priority="88">
      <formula>$A7="Reactor_Unit"</formula>
    </cfRule>
  </conditionalFormatting>
  <conditionalFormatting sqref="AC7">
    <cfRule type="expression" dxfId="164" priority="67">
      <formula>$A7="Security_Systems"</formula>
    </cfRule>
    <cfRule type="expression" dxfId="163" priority="68">
      <formula>$A7="Control_&amp;_Instrumentation"</formula>
    </cfRule>
    <cfRule type="expression" dxfId="162" priority="69">
      <formula>$A7="Power_Supply_System"</formula>
    </cfRule>
    <cfRule type="expression" dxfId="161" priority="70">
      <formula>$A7="Nuclear_Auxillary_Systems"</formula>
    </cfRule>
    <cfRule type="expression" dxfId="160" priority="71">
      <formula>$A7="Main_Buildings"</formula>
    </cfRule>
    <cfRule type="expression" dxfId="159" priority="72">
      <formula>$A7="Main_Helium_Blowers"</formula>
    </cfRule>
    <cfRule type="expression" dxfId="158" priority="73">
      <formula>$A7="Fuel_Handling_&amp;_Storage"</formula>
    </cfRule>
    <cfRule type="expression" dxfId="157" priority="74">
      <formula>$A7="Power_Conversion_System"</formula>
    </cfRule>
    <cfRule type="expression" dxfId="156" priority="75">
      <formula>$A7="Steam_Generator"</formula>
    </cfRule>
    <cfRule type="expression" dxfId="155" priority="76">
      <formula>$A7="Reactor_Cavity_Cooling_System"</formula>
    </cfRule>
    <cfRule type="expression" dxfId="154" priority="77">
      <formula>$A7="Reactor_Unit"</formula>
    </cfRule>
  </conditionalFormatting>
  <conditionalFormatting sqref="U7:V7">
    <cfRule type="expression" dxfId="153" priority="56">
      <formula>$A7="Security_Systems"</formula>
    </cfRule>
    <cfRule type="expression" dxfId="152" priority="57">
      <formula>$A7="Control_&amp;_Instrumentation"</formula>
    </cfRule>
    <cfRule type="expression" dxfId="151" priority="58">
      <formula>$A7="Power_Supply_System"</formula>
    </cfRule>
    <cfRule type="expression" dxfId="150" priority="59">
      <formula>$A7="Nuclear_Auxillary_Systems"</formula>
    </cfRule>
    <cfRule type="expression" dxfId="149" priority="60">
      <formula>$A7="Main_Buildings"</formula>
    </cfRule>
    <cfRule type="expression" dxfId="148" priority="61">
      <formula>$A7="Main_Helium_Blowers"</formula>
    </cfRule>
    <cfRule type="expression" dxfId="147" priority="62">
      <formula>$A7="Fuel_Handling_&amp;_Storage"</formula>
    </cfRule>
    <cfRule type="expression" dxfId="146" priority="63">
      <formula>$A7="Power_Conversion_System"</formula>
    </cfRule>
    <cfRule type="expression" dxfId="145" priority="64">
      <formula>$A7="Steam_Generator"</formula>
    </cfRule>
    <cfRule type="expression" dxfId="144" priority="65">
      <formula>$A7="Reactor_Cavity_Cooling_System"</formula>
    </cfRule>
    <cfRule type="expression" dxfId="143" priority="66">
      <formula>$A7="Reactor_Unit"</formula>
    </cfRule>
  </conditionalFormatting>
  <conditionalFormatting sqref="T7">
    <cfRule type="expression" dxfId="142" priority="45">
      <formula>$A7="Security_Systems"</formula>
    </cfRule>
    <cfRule type="expression" dxfId="141" priority="46">
      <formula>$A7="Control_&amp;_Instrumentation"</formula>
    </cfRule>
    <cfRule type="expression" dxfId="140" priority="47">
      <formula>$A7="Power_Supply_System"</formula>
    </cfRule>
    <cfRule type="expression" dxfId="139" priority="48">
      <formula>$A7="Nuclear_Auxillary_Systems"</formula>
    </cfRule>
    <cfRule type="expression" dxfId="138" priority="49">
      <formula>$A7="Main_Buildings"</formula>
    </cfRule>
    <cfRule type="expression" dxfId="137" priority="50">
      <formula>$A7="Main_Helium_Blowers"</formula>
    </cfRule>
    <cfRule type="expression" dxfId="136" priority="51">
      <formula>$A7="Fuel_Handling_&amp;_Storage"</formula>
    </cfRule>
    <cfRule type="expression" dxfId="135" priority="52">
      <formula>$A7="Power_Conversion_System"</formula>
    </cfRule>
    <cfRule type="expression" dxfId="134" priority="53">
      <formula>$A7="Steam_Generator"</formula>
    </cfRule>
    <cfRule type="expression" dxfId="133" priority="54">
      <formula>$A7="Reactor_Cavity_Cooling_System"</formula>
    </cfRule>
    <cfRule type="expression" dxfId="132" priority="55">
      <formula>$A7="Reactor_Unit"</formula>
    </cfRule>
  </conditionalFormatting>
  <conditionalFormatting sqref="X7:Y7">
    <cfRule type="expression" dxfId="131" priority="34">
      <formula>$A7="Security_Systems"</formula>
    </cfRule>
    <cfRule type="expression" dxfId="130" priority="35">
      <formula>$A7="Control_&amp;_Instrumentation"</formula>
    </cfRule>
    <cfRule type="expression" dxfId="129" priority="36">
      <formula>$A7="Power_Supply_System"</formula>
    </cfRule>
    <cfRule type="expression" dxfId="128" priority="37">
      <formula>$A7="Nuclear_Auxillary_Systems"</formula>
    </cfRule>
    <cfRule type="expression" dxfId="127" priority="38">
      <formula>$A7="Main_Buildings"</formula>
    </cfRule>
    <cfRule type="expression" dxfId="126" priority="39">
      <formula>$A7="Main_Helium_Blowers"</formula>
    </cfRule>
    <cfRule type="expression" dxfId="125" priority="40">
      <formula>$A7="Fuel_Handling_&amp;_Storage"</formula>
    </cfRule>
    <cfRule type="expression" dxfId="124" priority="41">
      <formula>$A7="Power_Conversion_System"</formula>
    </cfRule>
    <cfRule type="expression" dxfId="123" priority="42">
      <formula>$A7="Steam_Generator"</formula>
    </cfRule>
    <cfRule type="expression" dxfId="122" priority="43">
      <formula>$A7="Reactor_Cavity_Cooling_System"</formula>
    </cfRule>
    <cfRule type="expression" dxfId="121" priority="44">
      <formula>$A7="Reactor_Unit"</formula>
    </cfRule>
  </conditionalFormatting>
  <conditionalFormatting sqref="W7">
    <cfRule type="expression" dxfId="120" priority="23">
      <formula>$A7="Security_Systems"</formula>
    </cfRule>
    <cfRule type="expression" dxfId="119" priority="24">
      <formula>$A7="Control_&amp;_Instrumentation"</formula>
    </cfRule>
    <cfRule type="expression" dxfId="118" priority="25">
      <formula>$A7="Power_Supply_System"</formula>
    </cfRule>
    <cfRule type="expression" dxfId="117" priority="26">
      <formula>$A7="Nuclear_Auxillary_Systems"</formula>
    </cfRule>
    <cfRule type="expression" dxfId="116" priority="27">
      <formula>$A7="Main_Buildings"</formula>
    </cfRule>
    <cfRule type="expression" dxfId="115" priority="28">
      <formula>$A7="Main_Helium_Blowers"</formula>
    </cfRule>
    <cfRule type="expression" dxfId="114" priority="29">
      <formula>$A7="Fuel_Handling_&amp;_Storage"</formula>
    </cfRule>
    <cfRule type="expression" dxfId="113" priority="30">
      <formula>$A7="Power_Conversion_System"</formula>
    </cfRule>
    <cfRule type="expression" dxfId="112" priority="31">
      <formula>$A7="Steam_Generator"</formula>
    </cfRule>
    <cfRule type="expression" dxfId="111" priority="32">
      <formula>$A7="Reactor_Cavity_Cooling_System"</formula>
    </cfRule>
    <cfRule type="expression" dxfId="110" priority="33">
      <formula>$A7="Reactor_Unit"</formula>
    </cfRule>
  </conditionalFormatting>
  <conditionalFormatting sqref="AA7:AB7">
    <cfRule type="expression" dxfId="109" priority="12">
      <formula>$A7="Security_Systems"</formula>
    </cfRule>
    <cfRule type="expression" dxfId="108" priority="13">
      <formula>$A7="Control_&amp;_Instrumentation"</formula>
    </cfRule>
    <cfRule type="expression" dxfId="107" priority="14">
      <formula>$A7="Power_Supply_System"</formula>
    </cfRule>
    <cfRule type="expression" dxfId="106" priority="15">
      <formula>$A7="Nuclear_Auxillary_Systems"</formula>
    </cfRule>
    <cfRule type="expression" dxfId="105" priority="16">
      <formula>$A7="Main_Buildings"</formula>
    </cfRule>
    <cfRule type="expression" dxfId="104" priority="17">
      <formula>$A7="Main_Helium_Blowers"</formula>
    </cfRule>
    <cfRule type="expression" dxfId="103" priority="18">
      <formula>$A7="Fuel_Handling_&amp;_Storage"</formula>
    </cfRule>
    <cfRule type="expression" dxfId="102" priority="19">
      <formula>$A7="Power_Conversion_System"</formula>
    </cfRule>
    <cfRule type="expression" dxfId="101" priority="20">
      <formula>$A7="Steam_Generator"</formula>
    </cfRule>
    <cfRule type="expression" dxfId="100" priority="21">
      <formula>$A7="Reactor_Cavity_Cooling_System"</formula>
    </cfRule>
    <cfRule type="expression" dxfId="99" priority="22">
      <formula>$A7="Reactor_Unit"</formula>
    </cfRule>
  </conditionalFormatting>
  <conditionalFormatting sqref="Z7">
    <cfRule type="expression" dxfId="98" priority="1">
      <formula>$A7="Security_Systems"</formula>
    </cfRule>
    <cfRule type="expression" dxfId="97" priority="2">
      <formula>$A7="Control_&amp;_Instrumentation"</formula>
    </cfRule>
    <cfRule type="expression" dxfId="96" priority="3">
      <formula>$A7="Power_Supply_System"</formula>
    </cfRule>
    <cfRule type="expression" dxfId="95" priority="4">
      <formula>$A7="Nuclear_Auxillary_Systems"</formula>
    </cfRule>
    <cfRule type="expression" dxfId="94" priority="5">
      <formula>$A7="Main_Buildings"</formula>
    </cfRule>
    <cfRule type="expression" dxfId="93" priority="6">
      <formula>$A7="Main_Helium_Blowers"</formula>
    </cfRule>
    <cfRule type="expression" dxfId="92" priority="7">
      <formula>$A7="Fuel_Handling_&amp;_Storage"</formula>
    </cfRule>
    <cfRule type="expression" dxfId="91" priority="8">
      <formula>$A7="Power_Conversion_System"</formula>
    </cfRule>
    <cfRule type="expression" dxfId="90" priority="9">
      <formula>$A7="Steam_Generator"</formula>
    </cfRule>
    <cfRule type="expression" dxfId="89" priority="10">
      <formula>$A7="Reactor_Cavity_Cooling_System"</formula>
    </cfRule>
    <cfRule type="expression" dxfId="88" priority="11">
      <formula>$A7="Reactor_Unit"</formula>
    </cfRule>
  </conditionalFormatting>
  <printOptions horizontalCentered="1"/>
  <pageMargins left="0.39370078740157483" right="0.39370078740157483" top="0.39370078740157483" bottom="0.39370078740157483" header="0.23622047244094491" footer="0.23622047244094491"/>
  <pageSetup paperSize="9" scale="54" fitToHeight="0" orientation="landscape" horizontalDpi="300" verticalDpi="300" r:id="rId1"/>
  <headerFooter alignWithMargins="0">
    <oddFooter>&amp;L&amp;8T 900 114 &amp;F&amp;C&amp;8Page &amp;P of &amp;N&amp;R&amp;8&amp;D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126"/>
  <sheetViews>
    <sheetView workbookViewId="0"/>
  </sheetViews>
  <sheetFormatPr defaultRowHeight="12.75" x14ac:dyDescent="0.2"/>
  <cols>
    <col min="1" max="2" width="31" style="3" bestFit="1" customWidth="1"/>
    <col min="3" max="16384" width="9.140625" style="3"/>
  </cols>
  <sheetData>
    <row r="1" spans="1:2" x14ac:dyDescent="0.2">
      <c r="A1" s="50" t="s">
        <v>111</v>
      </c>
      <c r="B1" s="3" t="s">
        <v>110</v>
      </c>
    </row>
    <row r="3" spans="1:2" x14ac:dyDescent="0.2">
      <c r="A3" s="16" t="s">
        <v>49</v>
      </c>
      <c r="B3" s="16" t="s">
        <v>109</v>
      </c>
    </row>
    <row r="4" spans="1:2" x14ac:dyDescent="0.2">
      <c r="A4" s="3" t="s">
        <v>199</v>
      </c>
    </row>
    <row r="5" spans="1:2" x14ac:dyDescent="0.2">
      <c r="A5" s="3" t="s">
        <v>200</v>
      </c>
    </row>
    <row r="6" spans="1:2" x14ac:dyDescent="0.2">
      <c r="A6" s="3" t="s">
        <v>85</v>
      </c>
      <c r="B6" s="17" t="str">
        <f>DocumentList!C3</f>
        <v>Document Classification</v>
      </c>
    </row>
    <row r="7" spans="1:2" x14ac:dyDescent="0.2">
      <c r="A7" s="3" t="s">
        <v>50</v>
      </c>
    </row>
    <row r="8" spans="1:2" x14ac:dyDescent="0.2">
      <c r="A8" s="3" t="s">
        <v>201</v>
      </c>
    </row>
    <row r="9" spans="1:2" x14ac:dyDescent="0.2">
      <c r="A9" s="3" t="s">
        <v>51</v>
      </c>
      <c r="B9" s="3" t="str">
        <f>DocumentList!A3</f>
        <v>Document Number</v>
      </c>
    </row>
    <row r="10" spans="1:2" x14ac:dyDescent="0.2">
      <c r="A10" s="3" t="s">
        <v>52</v>
      </c>
      <c r="B10" s="17" t="str">
        <f>DocumentList!B3</f>
        <v>Revision</v>
      </c>
    </row>
    <row r="11" spans="1:2" x14ac:dyDescent="0.2">
      <c r="A11" s="3" t="s">
        <v>53</v>
      </c>
      <c r="B11" s="3" t="str">
        <f>DocumentList!G3</f>
        <v>Release Date</v>
      </c>
    </row>
    <row r="12" spans="1:2" x14ac:dyDescent="0.2">
      <c r="A12" s="3" t="s">
        <v>142</v>
      </c>
    </row>
    <row r="13" spans="1:2" x14ac:dyDescent="0.2">
      <c r="A13" s="3" t="s">
        <v>54</v>
      </c>
      <c r="B13" s="3" t="str">
        <f>DocumentList!D3</f>
        <v>System</v>
      </c>
    </row>
    <row r="14" spans="1:2" x14ac:dyDescent="0.2">
      <c r="A14" s="3" t="s">
        <v>55</v>
      </c>
      <c r="B14" s="3" t="str">
        <f>DocumentList!E3</f>
        <v>Function</v>
      </c>
    </row>
    <row r="15" spans="1:2" x14ac:dyDescent="0.2">
      <c r="A15" s="3" t="s">
        <v>56</v>
      </c>
      <c r="B15" s="3" t="str">
        <f>DocumentList!F3</f>
        <v>Type</v>
      </c>
    </row>
    <row r="16" spans="1:2" x14ac:dyDescent="0.2">
      <c r="A16" s="3" t="s">
        <v>143</v>
      </c>
    </row>
    <row r="17" spans="1:2" x14ac:dyDescent="0.2">
      <c r="A17" s="3" t="s">
        <v>57</v>
      </c>
    </row>
    <row r="18" spans="1:2" x14ac:dyDescent="0.2">
      <c r="A18" s="3" t="s">
        <v>58</v>
      </c>
    </row>
    <row r="19" spans="1:2" x14ac:dyDescent="0.2">
      <c r="A19" s="3" t="s">
        <v>59</v>
      </c>
    </row>
    <row r="20" spans="1:2" x14ac:dyDescent="0.2">
      <c r="A20" s="3" t="s">
        <v>60</v>
      </c>
    </row>
    <row r="21" spans="1:2" x14ac:dyDescent="0.2">
      <c r="A21" s="3" t="s">
        <v>61</v>
      </c>
    </row>
    <row r="22" spans="1:2" x14ac:dyDescent="0.2">
      <c r="A22" s="3" t="s">
        <v>62</v>
      </c>
    </row>
    <row r="23" spans="1:2" x14ac:dyDescent="0.2">
      <c r="A23" s="3" t="s">
        <v>63</v>
      </c>
    </row>
    <row r="24" spans="1:2" x14ac:dyDescent="0.2">
      <c r="A24" s="3" t="s">
        <v>64</v>
      </c>
      <c r="B24" s="3" t="str">
        <f>DocumentList!I3</f>
        <v>Preparer Name</v>
      </c>
    </row>
    <row r="25" spans="1:2" x14ac:dyDescent="0.2">
      <c r="A25" s="3" t="s">
        <v>65</v>
      </c>
      <c r="B25" s="3" t="str">
        <f>DocumentList!J3</f>
        <v>Preparer Designation</v>
      </c>
    </row>
    <row r="26" spans="1:2" x14ac:dyDescent="0.2">
      <c r="A26" s="3" t="s">
        <v>66</v>
      </c>
      <c r="B26" s="3" t="str">
        <f>DocumentList!K3</f>
        <v>Main Reviewer Function</v>
      </c>
    </row>
    <row r="27" spans="1:2" x14ac:dyDescent="0.2">
      <c r="A27" s="3" t="s">
        <v>67</v>
      </c>
      <c r="B27" s="3" t="str">
        <f>DocumentList!L3</f>
        <v>Main Reviewer Name</v>
      </c>
    </row>
    <row r="28" spans="1:2" x14ac:dyDescent="0.2">
      <c r="A28" s="3" t="s">
        <v>68</v>
      </c>
      <c r="B28" s="3" t="str">
        <f>DocumentList!M3</f>
        <v>Main Reviewer Designation</v>
      </c>
    </row>
    <row r="29" spans="1:2" x14ac:dyDescent="0.2">
      <c r="A29" s="3" t="s">
        <v>69</v>
      </c>
      <c r="B29" s="3" t="str">
        <f>DocumentList!N3</f>
        <v>2nd Reviewer Function</v>
      </c>
    </row>
    <row r="30" spans="1:2" x14ac:dyDescent="0.2">
      <c r="A30" s="3" t="s">
        <v>70</v>
      </c>
      <c r="B30" s="3" t="str">
        <f>DocumentList!O3</f>
        <v>2nd Reviewer Name</v>
      </c>
    </row>
    <row r="31" spans="1:2" x14ac:dyDescent="0.2">
      <c r="A31" s="3" t="s">
        <v>71</v>
      </c>
      <c r="B31" s="3" t="str">
        <f>DocumentList!P3</f>
        <v>2nd Reviewer Designation</v>
      </c>
    </row>
    <row r="32" spans="1:2" x14ac:dyDescent="0.2">
      <c r="A32" s="3" t="s">
        <v>72</v>
      </c>
      <c r="B32" s="3" t="str">
        <f>DocumentList!Q3</f>
        <v>3rd Reviewer Function</v>
      </c>
    </row>
    <row r="33" spans="1:2" x14ac:dyDescent="0.2">
      <c r="A33" s="3" t="s">
        <v>73</v>
      </c>
      <c r="B33" s="3" t="str">
        <f>DocumentList!R3</f>
        <v>3rd Reviewer Name</v>
      </c>
    </row>
    <row r="34" spans="1:2" x14ac:dyDescent="0.2">
      <c r="A34" s="3" t="s">
        <v>74</v>
      </c>
      <c r="B34" s="3" t="str">
        <f>DocumentList!S3</f>
        <v>3rd Reviewer Designation</v>
      </c>
    </row>
    <row r="35" spans="1:2" x14ac:dyDescent="0.2">
      <c r="A35" s="3" t="s">
        <v>152</v>
      </c>
      <c r="B35" s="3" t="str">
        <f>DocumentList!T3</f>
        <v>4th Reviewer Function</v>
      </c>
    </row>
    <row r="36" spans="1:2" x14ac:dyDescent="0.2">
      <c r="A36" s="3" t="s">
        <v>153</v>
      </c>
      <c r="B36" s="3" t="str">
        <f>DocumentList!U3</f>
        <v>4th Reviewer Name</v>
      </c>
    </row>
    <row r="37" spans="1:2" x14ac:dyDescent="0.2">
      <c r="A37" s="3" t="s">
        <v>154</v>
      </c>
      <c r="B37" s="3" t="str">
        <f>DocumentList!V3</f>
        <v>4th Reviewer Designation</v>
      </c>
    </row>
    <row r="38" spans="1:2" x14ac:dyDescent="0.2">
      <c r="A38" s="3" t="s">
        <v>155</v>
      </c>
      <c r="B38" s="3" t="str">
        <f>DocumentList!W3</f>
        <v>5th Reviewer Function</v>
      </c>
    </row>
    <row r="39" spans="1:2" x14ac:dyDescent="0.2">
      <c r="A39" s="3" t="s">
        <v>156</v>
      </c>
      <c r="B39" s="3" t="str">
        <f>DocumentList!X3</f>
        <v>5th Reviewer Name</v>
      </c>
    </row>
    <row r="40" spans="1:2" x14ac:dyDescent="0.2">
      <c r="A40" s="3" t="s">
        <v>157</v>
      </c>
      <c r="B40" s="3" t="str">
        <f>DocumentList!Y3</f>
        <v>5th Reviewer Designation</v>
      </c>
    </row>
    <row r="41" spans="1:2" x14ac:dyDescent="0.2">
      <c r="A41" s="3" t="s">
        <v>158</v>
      </c>
      <c r="B41" s="3" t="str">
        <f>DocumentList!Z3</f>
        <v>6th Reviewer Function</v>
      </c>
    </row>
    <row r="42" spans="1:2" x14ac:dyDescent="0.2">
      <c r="A42" s="3" t="s">
        <v>159</v>
      </c>
      <c r="B42" s="3" t="str">
        <f>DocumentList!AA3</f>
        <v>6th Reviewer Name</v>
      </c>
    </row>
    <row r="43" spans="1:2" x14ac:dyDescent="0.2">
      <c r="A43" s="3" t="s">
        <v>160</v>
      </c>
      <c r="B43" s="3" t="str">
        <f>DocumentList!AB3</f>
        <v>6th Reviewer Designation</v>
      </c>
    </row>
    <row r="44" spans="1:2" x14ac:dyDescent="0.2">
      <c r="A44" s="3" t="s">
        <v>75</v>
      </c>
      <c r="B44" s="3" t="str">
        <f>DocumentList!AC3</f>
        <v>Approver Function</v>
      </c>
    </row>
    <row r="45" spans="1:2" x14ac:dyDescent="0.2">
      <c r="A45" s="3" t="s">
        <v>76</v>
      </c>
      <c r="B45" s="3" t="str">
        <f>DocumentList!AD3</f>
        <v>Approver Name</v>
      </c>
    </row>
    <row r="46" spans="1:2" x14ac:dyDescent="0.2">
      <c r="A46" s="3" t="s">
        <v>77</v>
      </c>
      <c r="B46" s="3" t="str">
        <f>DocumentList!AE3</f>
        <v>Approver Designation</v>
      </c>
    </row>
    <row r="47" spans="1:2" x14ac:dyDescent="0.2">
      <c r="A47" s="3" t="s">
        <v>78</v>
      </c>
    </row>
    <row r="48" spans="1:2" x14ac:dyDescent="0.2">
      <c r="A48" s="3" t="s">
        <v>79</v>
      </c>
      <c r="B48" s="3" t="str">
        <f>DocumentList!H3</f>
        <v>Status</v>
      </c>
    </row>
    <row r="49" spans="1:2" x14ac:dyDescent="0.2">
      <c r="A49" s="3" t="s">
        <v>144</v>
      </c>
    </row>
    <row r="50" spans="1:2" x14ac:dyDescent="0.2">
      <c r="A50" s="3" t="s">
        <v>80</v>
      </c>
    </row>
    <row r="51" spans="1:2" x14ac:dyDescent="0.2">
      <c r="A51" s="3" t="s">
        <v>81</v>
      </c>
      <c r="B51" s="3" t="str">
        <f>DocumentList!AI3</f>
        <v>Document Layout</v>
      </c>
    </row>
    <row r="52" spans="1:2" x14ac:dyDescent="0.2">
      <c r="A52" s="3" t="s">
        <v>202</v>
      </c>
    </row>
    <row r="53" spans="1:2" x14ac:dyDescent="0.2">
      <c r="A53" s="3" t="s">
        <v>82</v>
      </c>
      <c r="B53" s="3" t="str">
        <f>DocumentList!AG3</f>
        <v>Competency Validation</v>
      </c>
    </row>
    <row r="54" spans="1:2" x14ac:dyDescent="0.2">
      <c r="A54" s="3" t="s">
        <v>83</v>
      </c>
      <c r="B54" s="3" t="str">
        <f>DocumentList!AF3</f>
        <v>Resource Validation</v>
      </c>
    </row>
    <row r="55" spans="1:2" x14ac:dyDescent="0.2">
      <c r="A55" s="3" t="s">
        <v>84</v>
      </c>
      <c r="B55" s="3" t="str">
        <f>DocumentList!AH3</f>
        <v>Competency Area</v>
      </c>
    </row>
    <row r="56" spans="1:2" x14ac:dyDescent="0.2">
      <c r="A56" s="3" t="s">
        <v>87</v>
      </c>
      <c r="B56" s="3" t="str">
        <f>DocumentList!AJ3</f>
        <v>Strict File Name</v>
      </c>
    </row>
    <row r="57" spans="1:2" x14ac:dyDescent="0.2">
      <c r="A57" s="3" t="s">
        <v>88</v>
      </c>
      <c r="B57" s="3" t="str">
        <f>DocumentList!AK3</f>
        <v>File Name</v>
      </c>
    </row>
    <row r="58" spans="1:2" x14ac:dyDescent="0.2">
      <c r="A58" s="3" t="s">
        <v>133</v>
      </c>
    </row>
    <row r="59" spans="1:2" x14ac:dyDescent="0.2">
      <c r="A59" s="3" t="s">
        <v>134</v>
      </c>
    </row>
    <row r="60" spans="1:2" x14ac:dyDescent="0.2">
      <c r="A60" s="3" t="s">
        <v>135</v>
      </c>
    </row>
    <row r="61" spans="1:2" x14ac:dyDescent="0.2">
      <c r="A61" s="3" t="s">
        <v>136</v>
      </c>
    </row>
    <row r="62" spans="1:2" x14ac:dyDescent="0.2">
      <c r="A62" s="3" t="s">
        <v>137</v>
      </c>
    </row>
    <row r="63" spans="1:2" x14ac:dyDescent="0.2">
      <c r="A63" s="3" t="s">
        <v>138</v>
      </c>
    </row>
    <row r="64" spans="1:2" x14ac:dyDescent="0.2">
      <c r="A64" s="3" t="s">
        <v>139</v>
      </c>
    </row>
    <row r="65" spans="1:1" x14ac:dyDescent="0.2">
      <c r="A65" s="3" t="s">
        <v>140</v>
      </c>
    </row>
    <row r="66" spans="1:1" x14ac:dyDescent="0.2">
      <c r="A66" s="3" t="s">
        <v>151</v>
      </c>
    </row>
    <row r="67" spans="1:1" x14ac:dyDescent="0.2">
      <c r="A67" s="3" t="s">
        <v>203</v>
      </c>
    </row>
    <row r="68" spans="1:1" x14ac:dyDescent="0.2">
      <c r="A68" s="3" t="s">
        <v>204</v>
      </c>
    </row>
    <row r="69" spans="1:1" x14ac:dyDescent="0.2">
      <c r="A69" s="3" t="s">
        <v>205</v>
      </c>
    </row>
    <row r="70" spans="1:1" x14ac:dyDescent="0.2">
      <c r="A70" s="3" t="s">
        <v>206</v>
      </c>
    </row>
    <row r="71" spans="1:1" x14ac:dyDescent="0.2">
      <c r="A71" s="3" t="s">
        <v>207</v>
      </c>
    </row>
    <row r="72" spans="1:1" x14ac:dyDescent="0.2">
      <c r="A72" s="3" t="s">
        <v>208</v>
      </c>
    </row>
    <row r="73" spans="1:1" x14ac:dyDescent="0.2">
      <c r="A73" s="3" t="s">
        <v>209</v>
      </c>
    </row>
    <row r="74" spans="1:1" x14ac:dyDescent="0.2">
      <c r="A74" s="3" t="s">
        <v>210</v>
      </c>
    </row>
    <row r="75" spans="1:1" x14ac:dyDescent="0.2">
      <c r="A75" s="3" t="s">
        <v>211</v>
      </c>
    </row>
    <row r="76" spans="1:1" x14ac:dyDescent="0.2">
      <c r="A76" s="3" t="s">
        <v>212</v>
      </c>
    </row>
    <row r="77" spans="1:1" x14ac:dyDescent="0.2">
      <c r="A77" s="3" t="s">
        <v>213</v>
      </c>
    </row>
    <row r="78" spans="1:1" x14ac:dyDescent="0.2">
      <c r="A78" s="3" t="s">
        <v>214</v>
      </c>
    </row>
    <row r="79" spans="1:1" x14ac:dyDescent="0.2">
      <c r="A79" s="3" t="s">
        <v>215</v>
      </c>
    </row>
    <row r="80" spans="1:1" x14ac:dyDescent="0.2">
      <c r="A80" s="3" t="s">
        <v>216</v>
      </c>
    </row>
    <row r="81" spans="1:1" x14ac:dyDescent="0.2">
      <c r="A81" s="3" t="s">
        <v>217</v>
      </c>
    </row>
    <row r="82" spans="1:1" x14ac:dyDescent="0.2">
      <c r="A82" s="3" t="s">
        <v>218</v>
      </c>
    </row>
    <row r="83" spans="1:1" x14ac:dyDescent="0.2">
      <c r="A83" s="3" t="s">
        <v>219</v>
      </c>
    </row>
    <row r="84" spans="1:1" x14ac:dyDescent="0.2">
      <c r="A84" s="3" t="s">
        <v>220</v>
      </c>
    </row>
    <row r="85" spans="1:1" x14ac:dyDescent="0.2">
      <c r="A85" s="3" t="s">
        <v>221</v>
      </c>
    </row>
    <row r="86" spans="1:1" x14ac:dyDescent="0.2">
      <c r="A86" s="3" t="s">
        <v>222</v>
      </c>
    </row>
    <row r="87" spans="1:1" x14ac:dyDescent="0.2">
      <c r="A87" s="3" t="s">
        <v>141</v>
      </c>
    </row>
    <row r="88" spans="1:1" x14ac:dyDescent="0.2">
      <c r="A88" s="3" t="s">
        <v>223</v>
      </c>
    </row>
    <row r="89" spans="1:1" x14ac:dyDescent="0.2">
      <c r="A89" s="3" t="s">
        <v>145</v>
      </c>
    </row>
    <row r="90" spans="1:1" x14ac:dyDescent="0.2">
      <c r="A90" s="3" t="s">
        <v>224</v>
      </c>
    </row>
    <row r="91" spans="1:1" x14ac:dyDescent="0.2">
      <c r="A91" s="3" t="s">
        <v>225</v>
      </c>
    </row>
    <row r="92" spans="1:1" x14ac:dyDescent="0.2">
      <c r="A92" s="3" t="s">
        <v>226</v>
      </c>
    </row>
    <row r="93" spans="1:1" x14ac:dyDescent="0.2">
      <c r="A93" s="3" t="s">
        <v>227</v>
      </c>
    </row>
    <row r="94" spans="1:1" x14ac:dyDescent="0.2">
      <c r="A94" s="3" t="s">
        <v>228</v>
      </c>
    </row>
    <row r="95" spans="1:1" x14ac:dyDescent="0.2">
      <c r="A95" s="3" t="s">
        <v>229</v>
      </c>
    </row>
    <row r="96" spans="1:1" x14ac:dyDescent="0.2">
      <c r="A96" s="3" t="s">
        <v>230</v>
      </c>
    </row>
    <row r="97" spans="1:1" x14ac:dyDescent="0.2">
      <c r="A97" s="3" t="s">
        <v>231</v>
      </c>
    </row>
    <row r="98" spans="1:1" x14ac:dyDescent="0.2">
      <c r="A98" s="3" t="s">
        <v>232</v>
      </c>
    </row>
    <row r="99" spans="1:1" x14ac:dyDescent="0.2">
      <c r="A99" s="3" t="s">
        <v>233</v>
      </c>
    </row>
    <row r="100" spans="1:1" x14ac:dyDescent="0.2">
      <c r="A100" s="3" t="s">
        <v>234</v>
      </c>
    </row>
    <row r="101" spans="1:1" x14ac:dyDescent="0.2">
      <c r="A101" s="3" t="s">
        <v>146</v>
      </c>
    </row>
    <row r="102" spans="1:1" x14ac:dyDescent="0.2">
      <c r="A102" s="3" t="s">
        <v>147</v>
      </c>
    </row>
    <row r="103" spans="1:1" x14ac:dyDescent="0.2">
      <c r="A103" s="3" t="s">
        <v>148</v>
      </c>
    </row>
    <row r="104" spans="1:1" x14ac:dyDescent="0.2">
      <c r="A104" s="3" t="s">
        <v>149</v>
      </c>
    </row>
    <row r="105" spans="1:1" x14ac:dyDescent="0.2">
      <c r="A105" s="3" t="s">
        <v>150</v>
      </c>
    </row>
    <row r="106" spans="1:1" x14ac:dyDescent="0.2">
      <c r="A106" s="3" t="s">
        <v>179</v>
      </c>
    </row>
    <row r="107" spans="1:1" x14ac:dyDescent="0.2">
      <c r="A107" s="3" t="s">
        <v>180</v>
      </c>
    </row>
    <row r="108" spans="1:1" x14ac:dyDescent="0.2">
      <c r="A108" s="3" t="s">
        <v>181</v>
      </c>
    </row>
    <row r="109" spans="1:1" x14ac:dyDescent="0.2">
      <c r="A109" s="3" t="s">
        <v>182</v>
      </c>
    </row>
    <row r="110" spans="1:1" x14ac:dyDescent="0.2">
      <c r="A110" s="3" t="s">
        <v>183</v>
      </c>
    </row>
    <row r="111" spans="1:1" x14ac:dyDescent="0.2">
      <c r="A111" s="3" t="s">
        <v>184</v>
      </c>
    </row>
    <row r="112" spans="1:1" x14ac:dyDescent="0.2">
      <c r="A112" s="3" t="s">
        <v>185</v>
      </c>
    </row>
    <row r="113" spans="1:1" x14ac:dyDescent="0.2">
      <c r="A113" s="3" t="s">
        <v>186</v>
      </c>
    </row>
    <row r="114" spans="1:1" x14ac:dyDescent="0.2">
      <c r="A114" s="3" t="s">
        <v>187</v>
      </c>
    </row>
    <row r="115" spans="1:1" x14ac:dyDescent="0.2">
      <c r="A115" s="3" t="s">
        <v>188</v>
      </c>
    </row>
    <row r="116" spans="1:1" x14ac:dyDescent="0.2">
      <c r="A116" s="3" t="s">
        <v>189</v>
      </c>
    </row>
    <row r="117" spans="1:1" x14ac:dyDescent="0.2">
      <c r="A117" s="3" t="s">
        <v>190</v>
      </c>
    </row>
    <row r="118" spans="1:1" x14ac:dyDescent="0.2">
      <c r="A118" s="3" t="s">
        <v>191</v>
      </c>
    </row>
    <row r="119" spans="1:1" x14ac:dyDescent="0.2">
      <c r="A119" s="3" t="s">
        <v>192</v>
      </c>
    </row>
    <row r="120" spans="1:1" x14ac:dyDescent="0.2">
      <c r="A120" s="3" t="s">
        <v>193</v>
      </c>
    </row>
    <row r="121" spans="1:1" x14ac:dyDescent="0.2">
      <c r="A121" s="3" t="s">
        <v>194</v>
      </c>
    </row>
    <row r="122" spans="1:1" x14ac:dyDescent="0.2">
      <c r="A122" s="3" t="s">
        <v>195</v>
      </c>
    </row>
    <row r="123" spans="1:1" x14ac:dyDescent="0.2">
      <c r="A123" s="3" t="s">
        <v>196</v>
      </c>
    </row>
    <row r="124" spans="1:1" x14ac:dyDescent="0.2">
      <c r="A124" s="3" t="s">
        <v>197</v>
      </c>
    </row>
    <row r="125" spans="1:1" x14ac:dyDescent="0.2">
      <c r="A125" s="3" t="s">
        <v>198</v>
      </c>
    </row>
    <row r="126" spans="1:1" x14ac:dyDescent="0.2">
      <c r="A126" s="3" t="s">
        <v>235</v>
      </c>
    </row>
  </sheetData>
  <sheetProtection password="F660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8"/>
  <sheetViews>
    <sheetView workbookViewId="0">
      <selection sqref="A1:D1"/>
    </sheetView>
  </sheetViews>
  <sheetFormatPr defaultRowHeight="12.75" x14ac:dyDescent="0.2"/>
  <cols>
    <col min="1" max="1" width="51.140625" bestFit="1" customWidth="1"/>
    <col min="2" max="2" width="37.42578125" bestFit="1" customWidth="1"/>
    <col min="3" max="3" width="46.7109375" bestFit="1" customWidth="1"/>
    <col min="4" max="4" width="58.7109375" bestFit="1" customWidth="1"/>
  </cols>
  <sheetData>
    <row r="1" spans="1:4" ht="15" x14ac:dyDescent="0.25">
      <c r="A1" s="54" t="s">
        <v>11</v>
      </c>
      <c r="B1" s="55"/>
      <c r="C1" s="55"/>
      <c r="D1" s="56"/>
    </row>
    <row r="2" spans="1:4" ht="14.25" x14ac:dyDescent="0.2">
      <c r="A2" s="15"/>
      <c r="B2" s="9"/>
      <c r="C2" s="10"/>
      <c r="D2" s="29"/>
    </row>
    <row r="3" spans="1:4" ht="15" x14ac:dyDescent="0.2">
      <c r="A3" s="19" t="s">
        <v>0</v>
      </c>
      <c r="B3" s="20" t="s">
        <v>12</v>
      </c>
      <c r="C3" s="20" t="s">
        <v>44</v>
      </c>
      <c r="D3" s="29"/>
    </row>
    <row r="4" spans="1:4" ht="14.25" x14ac:dyDescent="0.2">
      <c r="A4" s="15"/>
      <c r="B4" s="8"/>
      <c r="C4" s="22" t="s">
        <v>32</v>
      </c>
      <c r="D4" s="29"/>
    </row>
    <row r="5" spans="1:4" ht="14.25" customHeight="1" x14ac:dyDescent="0.2">
      <c r="A5" s="21" t="s">
        <v>13</v>
      </c>
      <c r="B5" s="22" t="s">
        <v>14</v>
      </c>
      <c r="C5" s="60" t="s">
        <v>3</v>
      </c>
      <c r="D5" s="61"/>
    </row>
    <row r="6" spans="1:4" ht="14.25" x14ac:dyDescent="0.2">
      <c r="A6" s="21"/>
      <c r="B6" s="22"/>
      <c r="C6" s="22" t="s">
        <v>33</v>
      </c>
      <c r="D6" s="29"/>
    </row>
    <row r="7" spans="1:4" ht="14.25" x14ac:dyDescent="0.2">
      <c r="A7" s="21"/>
      <c r="B7" s="22"/>
      <c r="C7" s="60" t="s">
        <v>4</v>
      </c>
      <c r="D7" s="61"/>
    </row>
    <row r="8" spans="1:4" ht="14.25" x14ac:dyDescent="0.2">
      <c r="A8" s="21"/>
      <c r="B8" s="22"/>
      <c r="C8" s="22" t="s">
        <v>34</v>
      </c>
      <c r="D8" s="29"/>
    </row>
    <row r="9" spans="1:4" ht="14.25" x14ac:dyDescent="0.2">
      <c r="A9" s="21"/>
      <c r="B9" s="22"/>
      <c r="C9" s="60" t="s">
        <v>5</v>
      </c>
      <c r="D9" s="61"/>
    </row>
    <row r="10" spans="1:4" ht="14.25" x14ac:dyDescent="0.2">
      <c r="A10" s="21"/>
      <c r="B10" s="22"/>
      <c r="C10" s="22" t="s">
        <v>35</v>
      </c>
      <c r="D10" s="29"/>
    </row>
    <row r="11" spans="1:4" ht="14.25" x14ac:dyDescent="0.2">
      <c r="A11" s="21"/>
      <c r="B11" s="22"/>
      <c r="C11" s="60" t="s">
        <v>6</v>
      </c>
      <c r="D11" s="61"/>
    </row>
    <row r="12" spans="1:4" ht="14.25" x14ac:dyDescent="0.2">
      <c r="A12" s="21"/>
      <c r="B12" s="22"/>
      <c r="C12" s="22" t="s">
        <v>36</v>
      </c>
      <c r="D12" s="29"/>
    </row>
    <row r="13" spans="1:4" ht="14.25" x14ac:dyDescent="0.2">
      <c r="A13" s="21"/>
      <c r="B13" s="22"/>
      <c r="C13" s="60" t="s">
        <v>7</v>
      </c>
      <c r="D13" s="61"/>
    </row>
    <row r="14" spans="1:4" ht="14.25" x14ac:dyDescent="0.2">
      <c r="A14" s="21"/>
      <c r="B14" s="22"/>
      <c r="C14" s="22" t="s">
        <v>37</v>
      </c>
      <c r="D14" s="30"/>
    </row>
    <row r="15" spans="1:4" ht="14.25" x14ac:dyDescent="0.2">
      <c r="A15" s="21"/>
      <c r="B15" s="22"/>
      <c r="C15" s="60" t="s">
        <v>8</v>
      </c>
      <c r="D15" s="61"/>
    </row>
    <row r="16" spans="1:4" ht="14.25" x14ac:dyDescent="0.2">
      <c r="A16" s="21"/>
      <c r="B16" s="22"/>
      <c r="C16" s="22" t="s">
        <v>38</v>
      </c>
      <c r="D16" s="29"/>
    </row>
    <row r="17" spans="1:4" ht="14.25" x14ac:dyDescent="0.2">
      <c r="A17" s="21"/>
      <c r="B17" s="22"/>
      <c r="C17" s="60" t="s">
        <v>9</v>
      </c>
      <c r="D17" s="61"/>
    </row>
    <row r="18" spans="1:4" ht="14.25" x14ac:dyDescent="0.2">
      <c r="A18" s="21"/>
      <c r="B18" s="22"/>
      <c r="C18" s="22" t="s">
        <v>39</v>
      </c>
      <c r="D18" s="29"/>
    </row>
    <row r="19" spans="1:4" ht="15" thickBot="1" x14ac:dyDescent="0.25">
      <c r="A19" s="23"/>
      <c r="B19" s="24"/>
      <c r="C19" s="58" t="s">
        <v>10</v>
      </c>
      <c r="D19" s="59"/>
    </row>
    <row r="20" spans="1:4" ht="15" thickBot="1" x14ac:dyDescent="0.25">
      <c r="A20" s="25"/>
      <c r="B20" s="26"/>
      <c r="C20" s="10"/>
      <c r="D20" s="7"/>
    </row>
    <row r="21" spans="1:4" ht="15" x14ac:dyDescent="0.25">
      <c r="A21" s="57" t="s">
        <v>15</v>
      </c>
      <c r="B21" s="55"/>
      <c r="C21" s="55"/>
      <c r="D21" s="56"/>
    </row>
    <row r="22" spans="1:4" ht="14.25" x14ac:dyDescent="0.2">
      <c r="A22" s="27" t="s">
        <v>0</v>
      </c>
      <c r="B22" s="28" t="s">
        <v>12</v>
      </c>
      <c r="C22" s="11" t="s">
        <v>30</v>
      </c>
      <c r="D22" s="31" t="s">
        <v>31</v>
      </c>
    </row>
    <row r="23" spans="1:4" ht="14.25" customHeight="1" x14ac:dyDescent="0.2">
      <c r="A23" s="21" t="s">
        <v>16</v>
      </c>
      <c r="B23" s="22" t="s">
        <v>17</v>
      </c>
      <c r="C23" s="10" t="s">
        <v>18</v>
      </c>
      <c r="D23" s="12" t="str">
        <f t="shared" ref="D23:D38" si="0">A23&amp;" "&amp;B23&amp;" "&amp;C23</f>
        <v>Main Helium Blowers Product Specification</v>
      </c>
    </row>
    <row r="24" spans="1:4" ht="14.25" customHeight="1" x14ac:dyDescent="0.2">
      <c r="A24" s="21" t="s">
        <v>25</v>
      </c>
      <c r="B24" s="22" t="s">
        <v>108</v>
      </c>
      <c r="C24" s="10" t="s">
        <v>19</v>
      </c>
      <c r="D24" s="12" t="str">
        <f t="shared" si="0"/>
        <v>Core Neutronics Commisioning Tests Report</v>
      </c>
    </row>
    <row r="25" spans="1:4" ht="14.25" customHeight="1" x14ac:dyDescent="0.2">
      <c r="A25" s="21" t="s">
        <v>25</v>
      </c>
      <c r="B25" s="22" t="s">
        <v>2</v>
      </c>
      <c r="C25" s="10" t="s">
        <v>1</v>
      </c>
      <c r="D25" s="12" t="str">
        <f t="shared" si="0"/>
        <v>Core Neutronics Design Description</v>
      </c>
    </row>
    <row r="26" spans="1:4" ht="14.25" customHeight="1" x14ac:dyDescent="0.2">
      <c r="A26" s="21" t="s">
        <v>25</v>
      </c>
      <c r="B26" s="22" t="s">
        <v>26</v>
      </c>
      <c r="C26" s="10" t="s">
        <v>18</v>
      </c>
      <c r="D26" s="12" t="str">
        <f t="shared" si="0"/>
        <v>Core Neutronics Functional Specification</v>
      </c>
    </row>
    <row r="27" spans="1:4" ht="14.25" customHeight="1" x14ac:dyDescent="0.2">
      <c r="A27" s="21" t="s">
        <v>20</v>
      </c>
      <c r="B27" s="22" t="s">
        <v>21</v>
      </c>
      <c r="C27" s="10" t="s">
        <v>22</v>
      </c>
      <c r="D27" s="12" t="str">
        <f t="shared" si="0"/>
        <v>Thermal 100 Project Plan</v>
      </c>
    </row>
    <row r="28" spans="1:4" ht="14.25" customHeight="1" x14ac:dyDescent="0.2">
      <c r="A28" s="21" t="s">
        <v>23</v>
      </c>
      <c r="B28" s="22" t="s">
        <v>24</v>
      </c>
      <c r="C28" s="10" t="s">
        <v>22</v>
      </c>
      <c r="D28" s="12" t="str">
        <f t="shared" si="0"/>
        <v>VSOP Software Development Plan</v>
      </c>
    </row>
    <row r="29" spans="1:4" ht="14.25" customHeight="1" x14ac:dyDescent="0.2">
      <c r="A29" s="21" t="s">
        <v>25</v>
      </c>
      <c r="B29" s="22" t="s">
        <v>27</v>
      </c>
      <c r="C29" s="10" t="s">
        <v>19</v>
      </c>
      <c r="D29" s="12" t="str">
        <f t="shared" si="0"/>
        <v>Core Neutronics VSOP Calculation Report</v>
      </c>
    </row>
    <row r="30" spans="1:4" ht="14.25" customHeight="1" x14ac:dyDescent="0.2">
      <c r="A30" s="21" t="s">
        <v>25</v>
      </c>
      <c r="B30" s="22" t="s">
        <v>28</v>
      </c>
      <c r="C30" s="10" t="s">
        <v>19</v>
      </c>
      <c r="D30" s="12" t="str">
        <f t="shared" si="0"/>
        <v>Core Neutronics VSOP Calculation Model Report</v>
      </c>
    </row>
    <row r="31" spans="1:4" ht="14.25" customHeight="1" x14ac:dyDescent="0.2">
      <c r="A31" s="21" t="s">
        <v>25</v>
      </c>
      <c r="B31" s="22" t="s">
        <v>29</v>
      </c>
      <c r="C31" s="10" t="s">
        <v>22</v>
      </c>
      <c r="D31" s="12" t="str">
        <f t="shared" si="0"/>
        <v>Core Neutronics VSOP Calculation Model Development Plan</v>
      </c>
    </row>
    <row r="32" spans="1:4" ht="14.25" x14ac:dyDescent="0.2">
      <c r="A32" s="21" t="s">
        <v>23</v>
      </c>
      <c r="B32" s="22" t="s">
        <v>40</v>
      </c>
      <c r="C32" s="10" t="s">
        <v>41</v>
      </c>
      <c r="D32" s="12" t="str">
        <f t="shared" si="0"/>
        <v>VSOP User Manual</v>
      </c>
    </row>
    <row r="33" spans="1:4" ht="14.25" customHeight="1" x14ac:dyDescent="0.2">
      <c r="A33" s="21" t="s">
        <v>16</v>
      </c>
      <c r="B33" s="22" t="s">
        <v>42</v>
      </c>
      <c r="C33" s="10" t="s">
        <v>43</v>
      </c>
      <c r="D33" s="12" t="str">
        <f t="shared" si="0"/>
        <v>Main Helium Blowers Factory Acceptance Test Procedure</v>
      </c>
    </row>
    <row r="34" spans="1:4" ht="14.25" customHeight="1" x14ac:dyDescent="0.2">
      <c r="A34" s="21" t="s">
        <v>16</v>
      </c>
      <c r="B34" s="22" t="s">
        <v>45</v>
      </c>
      <c r="C34" s="10" t="s">
        <v>46</v>
      </c>
      <c r="D34" s="12" t="str">
        <f t="shared" si="0"/>
        <v>Main Helium Blowers Build History Record</v>
      </c>
    </row>
    <row r="35" spans="1:4" ht="14.25" customHeight="1" x14ac:dyDescent="0.2">
      <c r="A35" s="21" t="s">
        <v>16</v>
      </c>
      <c r="B35" s="22" t="s">
        <v>47</v>
      </c>
      <c r="C35" s="10" t="s">
        <v>48</v>
      </c>
      <c r="D35" s="12" t="str">
        <f t="shared" si="0"/>
        <v>Main Helium Blowers Design Information Request</v>
      </c>
    </row>
    <row r="36" spans="1:4" ht="14.25" customHeight="1" x14ac:dyDescent="0.2">
      <c r="A36" s="21" t="s">
        <v>16</v>
      </c>
      <c r="B36" s="22" t="s">
        <v>107</v>
      </c>
      <c r="C36" s="10" t="s">
        <v>48</v>
      </c>
      <c r="D36" s="12" t="str">
        <f t="shared" ref="D36:D37" si="1">A36&amp;" "&amp;B36&amp;" "&amp;C36</f>
        <v>Main Helium Blowers Design Proposal Request</v>
      </c>
    </row>
    <row r="37" spans="1:4" ht="14.25" customHeight="1" x14ac:dyDescent="0.2">
      <c r="A37" s="21" t="s">
        <v>16</v>
      </c>
      <c r="B37" s="22" t="s">
        <v>106</v>
      </c>
      <c r="C37" s="10" t="s">
        <v>48</v>
      </c>
      <c r="D37" s="12" t="str">
        <f t="shared" si="1"/>
        <v>Main Helium Blowers Design Quotation Request</v>
      </c>
    </row>
    <row r="38" spans="1:4" ht="15" customHeight="1" thickBot="1" x14ac:dyDescent="0.25">
      <c r="A38" s="23" t="s">
        <v>16</v>
      </c>
      <c r="B38" s="24" t="s">
        <v>105</v>
      </c>
      <c r="C38" s="13" t="s">
        <v>48</v>
      </c>
      <c r="D38" s="14" t="str">
        <f t="shared" si="0"/>
        <v>Main Helium Blowers Build and Test Proposal Request</v>
      </c>
    </row>
  </sheetData>
  <mergeCells count="10">
    <mergeCell ref="A1:D1"/>
    <mergeCell ref="A21:D21"/>
    <mergeCell ref="C19:D19"/>
    <mergeCell ref="C15:D15"/>
    <mergeCell ref="C17:D17"/>
    <mergeCell ref="C11:D11"/>
    <mergeCell ref="C13:D13"/>
    <mergeCell ref="C7:D7"/>
    <mergeCell ref="C9:D9"/>
    <mergeCell ref="C5:D5"/>
  </mergeCells>
  <conditionalFormatting sqref="A1 D6 C20:D20 C23:C29 D22 D8 D10 D12 D14 D16 D18 C31:C35 C3:D3 A2:D2 C38">
    <cfRule type="expression" dxfId="87" priority="67">
      <formula>$A1="Security_Systems"</formula>
    </cfRule>
    <cfRule type="expression" dxfId="86" priority="68">
      <formula>$A1="Control_&amp;_Instrumentation"</formula>
    </cfRule>
    <cfRule type="expression" dxfId="85" priority="69">
      <formula>$A1="Power_Supply_System"</formula>
    </cfRule>
    <cfRule type="expression" dxfId="84" priority="70">
      <formula>$A1="Nuclear_Auxillary_Systems"</formula>
    </cfRule>
    <cfRule type="expression" dxfId="83" priority="71">
      <formula>$A1="Main_Buildings"</formula>
    </cfRule>
    <cfRule type="expression" dxfId="82" priority="72">
      <formula>$A1="Main_Helium_Blowers"</formula>
    </cfRule>
    <cfRule type="expression" dxfId="81" priority="73">
      <formula>$A1="Fuel_Handling_&amp;_Storage"</formula>
    </cfRule>
    <cfRule type="expression" dxfId="80" priority="74">
      <formula>$A1="Power_Conversion_System"</formula>
    </cfRule>
    <cfRule type="expression" dxfId="79" priority="75">
      <formula>$A1="Steam_Generator"</formula>
    </cfRule>
    <cfRule type="expression" dxfId="78" priority="76">
      <formula>$A1="Reactor_Cavity_Cooling_System"</formula>
    </cfRule>
    <cfRule type="expression" dxfId="77" priority="77">
      <formula>$A1="Reactor_Unit"</formula>
    </cfRule>
  </conditionalFormatting>
  <conditionalFormatting sqref="A3">
    <cfRule type="expression" dxfId="76" priority="56">
      <formula>$A3="Security_Systems"</formula>
    </cfRule>
    <cfRule type="expression" dxfId="75" priority="57">
      <formula>$A3="Control_&amp;_Instrumentation"</formula>
    </cfRule>
    <cfRule type="expression" dxfId="74" priority="58">
      <formula>$A3="Power_Supply_System"</formula>
    </cfRule>
    <cfRule type="expression" dxfId="73" priority="59">
      <formula>$A3="Nuclear_Auxillary_Systems"</formula>
    </cfRule>
    <cfRule type="expression" dxfId="72" priority="60">
      <formula>$A3="Main_Buildings"</formula>
    </cfRule>
    <cfRule type="expression" dxfId="71" priority="61">
      <formula>$A3="Main_Helium_Blowers"</formula>
    </cfRule>
    <cfRule type="expression" dxfId="70" priority="62">
      <formula>$A3="Fuel_Handling_&amp;_Storage"</formula>
    </cfRule>
    <cfRule type="expression" dxfId="69" priority="63">
      <formula>$A3="Power_Conversion_System"</formula>
    </cfRule>
    <cfRule type="expression" dxfId="68" priority="64">
      <formula>$A3="Steam_Generator"</formula>
    </cfRule>
    <cfRule type="expression" dxfId="67" priority="65">
      <formula>$A3="Reactor_Cavity_Cooling_System"</formula>
    </cfRule>
    <cfRule type="expression" dxfId="66" priority="66">
      <formula>$A3="Reactor_Unit"</formula>
    </cfRule>
  </conditionalFormatting>
  <conditionalFormatting sqref="B3">
    <cfRule type="expression" dxfId="65" priority="45">
      <formula>$A3="Security_Systems"</formula>
    </cfRule>
    <cfRule type="expression" dxfId="64" priority="46">
      <formula>$A3="Control_&amp;_Instrumentation"</formula>
    </cfRule>
    <cfRule type="expression" dxfId="63" priority="47">
      <formula>$A3="Power_Supply_System"</formula>
    </cfRule>
    <cfRule type="expression" dxfId="62" priority="48">
      <formula>$A3="Nuclear_Auxillary_Systems"</formula>
    </cfRule>
    <cfRule type="expression" dxfId="61" priority="49">
      <formula>$A3="Main_Buildings"</formula>
    </cfRule>
    <cfRule type="expression" dxfId="60" priority="50">
      <formula>$A3="Main_Helium_Blowers"</formula>
    </cfRule>
    <cfRule type="expression" dxfId="59" priority="51">
      <formula>$A3="Fuel_Handling_&amp;_Storage"</formula>
    </cfRule>
    <cfRule type="expression" dxfId="58" priority="52">
      <formula>$A3="Power_Conversion_System"</formula>
    </cfRule>
    <cfRule type="expression" dxfId="57" priority="53">
      <formula>$A3="Steam_Generator"</formula>
    </cfRule>
    <cfRule type="expression" dxfId="56" priority="54">
      <formula>$A3="Reactor_Cavity_Cooling_System"</formula>
    </cfRule>
    <cfRule type="expression" dxfId="55" priority="55">
      <formula>$A3="Reactor_Unit"</formula>
    </cfRule>
  </conditionalFormatting>
  <conditionalFormatting sqref="D4">
    <cfRule type="expression" dxfId="54" priority="78">
      <formula>$A5="Security_Systems"</formula>
    </cfRule>
    <cfRule type="expression" dxfId="53" priority="79">
      <formula>$A5="Control_&amp;_Instrumentation"</formula>
    </cfRule>
    <cfRule type="expression" dxfId="52" priority="80">
      <formula>$A5="Power_Supply_System"</formula>
    </cfRule>
    <cfRule type="expression" dxfId="51" priority="81">
      <formula>$A5="Nuclear_Auxillary_Systems"</formula>
    </cfRule>
    <cfRule type="expression" dxfId="50" priority="82">
      <formula>$A5="Main_Buildings"</formula>
    </cfRule>
    <cfRule type="expression" dxfId="49" priority="83">
      <formula>$A5="Main_Helium_Blowers"</formula>
    </cfRule>
    <cfRule type="expression" dxfId="48" priority="84">
      <formula>$A5="Fuel_Handling_&amp;_Storage"</formula>
    </cfRule>
    <cfRule type="expression" dxfId="47" priority="85">
      <formula>$A5="Power_Conversion_System"</formula>
    </cfRule>
    <cfRule type="expression" dxfId="46" priority="86">
      <formula>$A5="Steam_Generator"</formula>
    </cfRule>
    <cfRule type="expression" dxfId="45" priority="87">
      <formula>$A5="Reactor_Cavity_Cooling_System"</formula>
    </cfRule>
    <cfRule type="expression" dxfId="44" priority="88">
      <formula>$A5="Reactor_Unit"</formula>
    </cfRule>
  </conditionalFormatting>
  <conditionalFormatting sqref="C30">
    <cfRule type="expression" dxfId="43" priority="34">
      <formula>$A30="Security_Systems"</formula>
    </cfRule>
    <cfRule type="expression" dxfId="42" priority="35">
      <formula>$A30="Control_&amp;_Instrumentation"</formula>
    </cfRule>
    <cfRule type="expression" dxfId="41" priority="36">
      <formula>$A30="Power_Supply_System"</formula>
    </cfRule>
    <cfRule type="expression" dxfId="40" priority="37">
      <formula>$A30="Nuclear_Auxillary_Systems"</formula>
    </cfRule>
    <cfRule type="expression" dxfId="39" priority="38">
      <formula>$A30="Main_Buildings"</formula>
    </cfRule>
    <cfRule type="expression" dxfId="38" priority="39">
      <formula>$A30="Main_Helium_Blowers"</formula>
    </cfRule>
    <cfRule type="expression" dxfId="37" priority="40">
      <formula>$A30="Fuel_Handling_&amp;_Storage"</formula>
    </cfRule>
    <cfRule type="expression" dxfId="36" priority="41">
      <formula>$A30="Power_Conversion_System"</formula>
    </cfRule>
    <cfRule type="expression" dxfId="35" priority="42">
      <formula>$A30="Steam_Generator"</formula>
    </cfRule>
    <cfRule type="expression" dxfId="34" priority="43">
      <formula>$A30="Reactor_Cavity_Cooling_System"</formula>
    </cfRule>
    <cfRule type="expression" dxfId="33" priority="44">
      <formula>$A30="Reactor_Unit"</formula>
    </cfRule>
  </conditionalFormatting>
  <conditionalFormatting sqref="C22">
    <cfRule type="expression" dxfId="32" priority="23">
      <formula>$A22="Security_Systems"</formula>
    </cfRule>
    <cfRule type="expression" dxfId="31" priority="24">
      <formula>$A22="Control_&amp;_Instrumentation"</formula>
    </cfRule>
    <cfRule type="expression" dxfId="30" priority="25">
      <formula>$A22="Power_Supply_System"</formula>
    </cfRule>
    <cfRule type="expression" dxfId="29" priority="26">
      <formula>$A22="Nuclear_Auxillary_Systems"</formula>
    </cfRule>
    <cfRule type="expression" dxfId="28" priority="27">
      <formula>$A22="Main_Buildings"</formula>
    </cfRule>
    <cfRule type="expression" dxfId="27" priority="28">
      <formula>$A22="Main_Helium_Blowers"</formula>
    </cfRule>
    <cfRule type="expression" dxfId="26" priority="29">
      <formula>$A22="Fuel_Handling_&amp;_Storage"</formula>
    </cfRule>
    <cfRule type="expression" dxfId="25" priority="30">
      <formula>$A22="Power_Conversion_System"</formula>
    </cfRule>
    <cfRule type="expression" dxfId="24" priority="31">
      <formula>$A22="Steam_Generator"</formula>
    </cfRule>
    <cfRule type="expression" dxfId="23" priority="32">
      <formula>$A22="Reactor_Cavity_Cooling_System"</formula>
    </cfRule>
    <cfRule type="expression" dxfId="22" priority="33">
      <formula>$A22="Reactor_Unit"</formula>
    </cfRule>
  </conditionalFormatting>
  <conditionalFormatting sqref="C36">
    <cfRule type="expression" dxfId="21" priority="12">
      <formula>$A36="Security_Systems"</formula>
    </cfRule>
    <cfRule type="expression" dxfId="20" priority="13">
      <formula>$A36="Control_&amp;_Instrumentation"</formula>
    </cfRule>
    <cfRule type="expression" dxfId="19" priority="14">
      <formula>$A36="Power_Supply_System"</formula>
    </cfRule>
    <cfRule type="expression" dxfId="18" priority="15">
      <formula>$A36="Nuclear_Auxillary_Systems"</formula>
    </cfRule>
    <cfRule type="expression" dxfId="17" priority="16">
      <formula>$A36="Main_Buildings"</formula>
    </cfRule>
    <cfRule type="expression" dxfId="16" priority="17">
      <formula>$A36="Main_Helium_Blowers"</formula>
    </cfRule>
    <cfRule type="expression" dxfId="15" priority="18">
      <formula>$A36="Fuel_Handling_&amp;_Storage"</formula>
    </cfRule>
    <cfRule type="expression" dxfId="14" priority="19">
      <formula>$A36="Power_Conversion_System"</formula>
    </cfRule>
    <cfRule type="expression" dxfId="13" priority="20">
      <formula>$A36="Steam_Generator"</formula>
    </cfRule>
    <cfRule type="expression" dxfId="12" priority="21">
      <formula>$A36="Reactor_Cavity_Cooling_System"</formula>
    </cfRule>
    <cfRule type="expression" dxfId="11" priority="22">
      <formula>$A36="Reactor_Unit"</formula>
    </cfRule>
  </conditionalFormatting>
  <conditionalFormatting sqref="C37">
    <cfRule type="expression" dxfId="10" priority="1">
      <formula>$A37="Security_Systems"</formula>
    </cfRule>
    <cfRule type="expression" dxfId="9" priority="2">
      <formula>$A37="Control_&amp;_Instrumentation"</formula>
    </cfRule>
    <cfRule type="expression" dxfId="8" priority="3">
      <formula>$A37="Power_Supply_System"</formula>
    </cfRule>
    <cfRule type="expression" dxfId="7" priority="4">
      <formula>$A37="Nuclear_Auxillary_Systems"</formula>
    </cfRule>
    <cfRule type="expression" dxfId="6" priority="5">
      <formula>$A37="Main_Buildings"</formula>
    </cfRule>
    <cfRule type="expression" dxfId="5" priority="6">
      <formula>$A37="Main_Helium_Blowers"</formula>
    </cfRule>
    <cfRule type="expression" dxfId="4" priority="7">
      <formula>$A37="Fuel_Handling_&amp;_Storage"</formula>
    </cfRule>
    <cfRule type="expression" dxfId="3" priority="8">
      <formula>$A37="Power_Conversion_System"</formula>
    </cfRule>
    <cfRule type="expression" dxfId="2" priority="9">
      <formula>$A37="Steam_Generator"</formula>
    </cfRule>
    <cfRule type="expression" dxfId="1" priority="10">
      <formula>$A37="Reactor_Cavity_Cooling_System"</formula>
    </cfRule>
    <cfRule type="expression" dxfId="0" priority="11">
      <formula>$A37="Reactor_Unit"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DocumentList</vt:lpstr>
      <vt:lpstr>PropertiesMap</vt:lpstr>
      <vt:lpstr>NamingExamples</vt:lpstr>
      <vt:lpstr>DocumentList!Print_Area</vt:lpstr>
      <vt:lpstr>DocumentList!Print_Titles</vt:lpstr>
    </vt:vector>
  </TitlesOfParts>
  <Company>DataCon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Paul Mueller</dc:creator>
  <cp:lastModifiedBy>J A Odendaal</cp:lastModifiedBy>
  <cp:lastPrinted>2012-11-21T09:38:00Z</cp:lastPrinted>
  <dcterms:created xsi:type="dcterms:W3CDTF">2003-03-14T02:56:03Z</dcterms:created>
  <dcterms:modified xsi:type="dcterms:W3CDTF">2018-05-08T19:15:42Z</dcterms:modified>
</cp:coreProperties>
</file>